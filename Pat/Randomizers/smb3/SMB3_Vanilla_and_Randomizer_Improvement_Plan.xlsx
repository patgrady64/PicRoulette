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f2500b23f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549910f1c9684347"/>
    <x:sheet xmlns:r="http://schemas.openxmlformats.org/officeDocument/2006/relationships" name="30-Day Plan" sheetId="2" r:id="R366d813b20d643cd"/>
    <x:sheet xmlns:r="http://schemas.openxmlformats.org/officeDocument/2006/relationships" name="12-Week Plan" sheetId="3" r:id="R38631d960c604ac9"/>
    <x:sheet xmlns:r="http://schemas.openxmlformats.org/officeDocument/2006/relationships" name="6-Month Roadmap" sheetId="4" r:id="R302abf5314874088"/>
    <x:sheet xmlns:r="http://schemas.openxmlformats.org/officeDocument/2006/relationships" name="Run Log" sheetId="5" r:id="Rf2281e21c90b47dd"/>
    <x:sheet xmlns:r="http://schemas.openxmlformats.org/officeDocument/2006/relationships" name="Skill Tracker" sheetId="6" r:id="R4edc44f4140a41e9"/>
    <x:sheet xmlns:r="http://schemas.openxmlformats.org/officeDocument/2006/relationships" name="Randomizer Notes" sheetId="7" r:id="R892ee9001e4f44e6"/>
    <x:sheet xmlns:r="http://schemas.openxmlformats.org/officeDocument/2006/relationships" name="Lists" sheetId="8" r:id="R89a05a67b9cc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mm/dd/yyyy"/>
    <x:numFmt numFmtId="202" formatCode="[h]:mm:ss"/>
    <x:numFmt numFmtId="203" formatCode="0"/>
    <x:numFmt numFmtId="204" formatCode="0.0"/>
  </x:numFmts>
  <x:fonts count="20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37474F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b/>
      <x:sz val="11"/>
      <x:color rgb="FF212121"/>
      <x:name val="Carlito"/>
    </x:font>
    <x:font>
      <x:b/>
      <x:sz val="13"/>
      <x:name val="Carlito"/>
    </x:font>
    <x:font>
      <x:b/>
      <x:sz val="12"/>
      <x:name val="Carlito"/>
    </x:font>
    <x:font>
      <x:b/>
      <x:sz val="20"/>
      <x:color rgb="FFFFFFFF"/>
      <x:name val="Arial"/>
    </x:font>
    <x:font>
      <x:sz val="11"/>
      <x:name val="Arial"/>
    </x:font>
    <x:font>
      <x:i/>
      <x:sz val="11"/>
      <x:color rgb="FF37474F"/>
      <x:name val="Arial"/>
    </x:font>
    <x:font>
      <x:b/>
      <x:sz val="12"/>
      <x:color rgb="FFFFFFFF"/>
      <x:name val="Arial"/>
    </x:font>
    <x:font>
      <x:b/>
      <x:sz val="11"/>
      <x:name val="Arial"/>
    </x:font>
    <x:font>
      <x:b/>
      <x:sz val="11"/>
      <x:color rgb="FF212121"/>
      <x:name val="Arial"/>
    </x:font>
    <x:font>
      <x:b/>
      <x:sz val="13"/>
      <x:name val="Arial"/>
    </x:font>
    <x:font>
      <x:b/>
      <x:sz val="11"/>
      <x:color rgb="FFFFFFFF"/>
      <x:name val="Arial"/>
    </x:font>
    <x:font>
      <x:b/>
      <x:sz val="12"/>
      <x:name val="Arial"/>
    </x:font>
    <x:font>
      <x:b/>
      <x:sz val="12"/>
      <x:color rgb="FF0D47A1"/>
      <x:name val="Arial"/>
    </x:font>
    <x:font>
      <x:b/>
      <x:sz val="11"/>
      <x:color rgb="FF0D47A1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C62828"/>
      </x:patternFill>
    </x:fill>
    <x:fill>
      <x:patternFill patternType="solid">
        <x:fgColor rgb="FFFFF8E1"/>
      </x:patternFill>
    </x:fill>
    <x:fill>
      <x:patternFill patternType="solid">
        <x:fgColor rgb="FF0D47A1"/>
      </x:patternFill>
    </x:fill>
    <x:fill>
      <x:patternFill patternType="solid">
        <x:fgColor rgb="FFF9A825"/>
      </x:patternFill>
    </x:fill>
    <x:fill>
      <x:patternFill patternType="solid">
        <x:fgColor rgb="FFFFF3CD"/>
      </x:patternFill>
    </x:fill>
    <x:fill>
      <x:patternFill patternType="solid">
        <x:fgColor rgb="FFE3F2FD"/>
      </x:patternFill>
    </x:fill>
    <x:fill>
      <x:patternFill patternType="solid">
        <x:fgColor rgb="FFFFF3CD"/>
      </x:patternFill>
    </x:fill>
    <x:fill>
      <x:patternFill patternType="solid">
        <x:fgColor rgb="FFE3F2FD"/>
      </x:patternFill>
    </x:fill>
    <x:fill>
      <x:patternFill patternType="solid">
        <x:fgColor rgb="FF0D47A1"/>
      </x:patternFill>
    </x:fill>
    <x:fill>
      <x:patternFill patternType="solid">
        <x:fgColor rgb="FFF9A825"/>
      </x:patternFill>
    </x:fill>
    <x:fill>
      <x:patternFill patternType="solid">
        <x:fgColor rgb="FFFFF8E1"/>
      </x:patternFill>
    </x:fill>
    <x:fill>
      <x:patternFill patternType="solid">
        <x:fgColor rgb="FFC62828"/>
      </x:patternFill>
    </x:fill>
    <x:fill>
      <x:patternFill patternType="solid">
        <x:fgColor rgb="FF1565C0"/>
      </x:patternFill>
    </x:fill>
  </x:fills>
  <x:borders count="31">
    <x:border/>
    <x:border/>
    <x:border>
      <x:left style="thin">
        <x:color rgb="FFB0BEC5"/>
      </x:left>
      <x:top style="thin">
        <x:color rgb="FFB0BEC5"/>
      </x:top>
      <x:bottom style="thin">
        <x:color rgb="FFB0BEC5"/>
      </x:bottom>
    </x:border>
    <x:border>
      <x:top style="thin">
        <x:color rgb="FFB0BEC5"/>
      </x:top>
      <x:bottom style="thin">
        <x:color rgb="FFB0BEC5"/>
      </x:bottom>
    </x:border>
    <x:border>
      <x:right style="thin">
        <x:color rgb="FFB0BEC5"/>
      </x:right>
      <x:top style="thin">
        <x:color rgb="FFB0BEC5"/>
      </x:top>
      <x:bottom style="thin">
        <x:color rgb="FFB0BEC5"/>
      </x:bottom>
    </x:border>
    <x:border>
      <x:left style="thin">
        <x:color rgb="FFB0BEC5"/>
      </x:left>
      <x:top style="thin">
        <x:color rgb="FFB0BEC5"/>
      </x:top>
      <x:bottom style="thin">
        <x:color rgb="FFB0BEC5"/>
      </x:bottom>
    </x:border>
    <x:border>
      <x:top style="thin">
        <x:color rgb="FFB0BEC5"/>
      </x:top>
      <x:bottom style="thin">
        <x:color rgb="FFB0BEC5"/>
      </x:bottom>
    </x:border>
    <x:border>
      <x:right style="thin">
        <x:color rgb="FFB0BEC5"/>
      </x:right>
      <x:top style="thin">
        <x:color rgb="FFB0BEC5"/>
      </x:top>
      <x:bottom style="thin">
        <x:color rgb="FFB0BEC5"/>
      </x:bottom>
    </x:border>
    <x:border>
      <x:left style="thin">
        <x:color rgb="FFB0BEC5"/>
      </x:left>
      <x:right style="thin">
        <x:color rgb="FFB0BEC5"/>
      </x:right>
      <x:top style="thin">
        <x:color rgb="FFB0BEC5"/>
      </x:top>
    </x:border>
    <x:border>
      <x:left style="thin">
        <x:color rgb="FFB0BEC5"/>
      </x:left>
      <x:right style="thin">
        <x:color rgb="FFB0BEC5"/>
      </x:right>
    </x:border>
    <x:border>
      <x:left style="thin">
        <x:color rgb="FFB0BEC5"/>
      </x:left>
      <x:right style="thin">
        <x:color rgb="FFB0BEC5"/>
      </x:right>
      <x:bottom style="thin">
        <x:color rgb="FFB0BEC5"/>
      </x:bottom>
    </x:border>
    <x:border>
      <x:left style="thin">
        <x:color rgb="FFB0BEC5"/>
      </x:left>
      <x:right style="thin">
        <x:color rgb="FFB0BEC5"/>
      </x:right>
      <x:top style="thin">
        <x:color rgb="FFB0BEC5"/>
      </x:top>
    </x:border>
    <x:border>
      <x:left style="thin">
        <x:color rgb="FFB0BEC5"/>
      </x:left>
      <x:right style="thin">
        <x:color rgb="FFB0BEC5"/>
      </x:right>
    </x:border>
    <x:border>
      <x:left style="thin">
        <x:color rgb="FFB0BEC5"/>
      </x:left>
      <x:right style="thin">
        <x:color rgb="FFB0BEC5"/>
      </x:right>
      <x:bottom style="thin">
        <x:color rgb="FFB0BEC5"/>
      </x:bottom>
    </x:border>
    <x:border>
      <x:left style="thin">
        <x:color rgb="FFB0BEC5"/>
      </x:left>
      <x:top style="thin">
        <x:color rgb="FFB0BEC5"/>
      </x:top>
    </x:border>
    <x:border>
      <x:top style="thin">
        <x:color rgb="FFB0BEC5"/>
      </x:top>
    </x:border>
    <x:border>
      <x:right style="thin">
        <x:color rgb="FFB0BEC5"/>
      </x:right>
      <x:top style="thin">
        <x:color rgb="FFB0BEC5"/>
      </x:top>
    </x:border>
    <x:border>
      <x:left style="thin">
        <x:color rgb="FFB0BEC5"/>
      </x:left>
    </x:border>
    <x:border>
      <x:right style="thin">
        <x:color rgb="FFB0BEC5"/>
      </x:right>
    </x:border>
    <x:border>
      <x:left style="thin">
        <x:color rgb="FFB0BEC5"/>
      </x:left>
      <x:bottom style="thin">
        <x:color rgb="FFB0BEC5"/>
      </x:bottom>
    </x:border>
    <x:border>
      <x:bottom style="thin">
        <x:color rgb="FFB0BEC5"/>
      </x:bottom>
    </x:border>
    <x:border>
      <x:right style="thin">
        <x:color rgb="FFB0BEC5"/>
      </x:right>
      <x:bottom style="thin">
        <x:color rgb="FFB0BEC5"/>
      </x:bottom>
    </x:border>
    <x:border>
      <x:left style="thin">
        <x:color rgb="FFB0BEC5"/>
      </x:left>
      <x:top style="thin">
        <x:color rgb="FFB0BEC5"/>
      </x:top>
    </x:border>
    <x:border>
      <x:top style="thin">
        <x:color rgb="FFB0BEC5"/>
      </x:top>
    </x:border>
    <x:border>
      <x:right style="thin">
        <x:color rgb="FFB0BEC5"/>
      </x:right>
      <x:top style="thin">
        <x:color rgb="FFB0BEC5"/>
      </x:top>
    </x:border>
    <x:border>
      <x:left style="thin">
        <x:color rgb="FFB0BEC5"/>
      </x:left>
    </x:border>
    <x:border>
      <x:right style="thin">
        <x:color rgb="FFB0BEC5"/>
      </x:right>
    </x:border>
    <x:border>
      <x:left style="thin">
        <x:color rgb="FFB0BEC5"/>
      </x:left>
      <x:bottom style="thin">
        <x:color rgb="FFB0BEC5"/>
      </x:bottom>
    </x:border>
    <x:border>
      <x:bottom style="thin">
        <x:color rgb="FFB0BEC5"/>
      </x:bottom>
    </x:border>
    <x:border>
      <x:right style="thin">
        <x:color rgb="FFB0BEC5"/>
      </x:right>
      <x:bottom style="thin">
        <x:color rgb="FFB0BEC5"/>
      </x:bottom>
    </x:border>
    <x:border>
      <x:left style="thin">
        <x:color rgb="FFB0BEC5"/>
      </x:left>
      <x:right style="thin">
        <x:color rgb="FFB0BEC5"/>
      </x:right>
      <x:top style="thin">
        <x:color rgb="FFB0BEC5"/>
      </x:top>
      <x:bottom style="thin">
        <x:color rgb="FFB0BEC5"/>
      </x:bottom>
    </x:border>
  </x:borders>
  <x:cellStyleXfs count="1">
    <x:xf numFmtId="0" fontId="0" fillId="0" borderId="0"/>
  </x:cellStyleXfs>
  <x:cellXfs count="5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8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1" xfId="0" applyNumberFormat="1" applyFont="1" applyFill="1" applyBorder="1" applyAlignment="1">
      <x:alignment horizontal="center"/>
    </x:xf>
    <x:xf numFmtId="0" fontId="5" fillId="6" borderId="12" xfId="0" applyNumberFormat="1" applyFont="1" applyFill="1" applyBorder="1" applyAlignment="1">
      <x:alignment horizontal="center"/>
    </x:xf>
    <x:xf numFmtId="0" fontId="5" fillId="6" borderId="13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 vertical="center"/>
    </x:xf>
    <x:xf numFmtId="0" fontId="5" fillId="6" borderId="12" xfId="0" applyNumberFormat="1" applyFont="1" applyFill="1" applyBorder="1" applyAlignment="1">
      <x:alignment horizontal="center" vertical="center"/>
    </x:xf>
    <x:xf numFmtId="0" fontId="5" fillId="6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7" borderId="23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28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20" xfId="0" applyNumberFormat="1" applyFont="1" applyFill="1" applyBorder="1" applyAlignment="1">
      <x:alignment vertical="top" wrapText="1"/>
    </x:xf>
    <x:xf numFmtId="0" fontId="5" fillId="7" borderId="23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8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200" fontId="5" fillId="7" borderId="1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5" xfId="0" applyNumberFormat="1" applyFont="1" applyFill="1" applyBorder="1" applyAlignment="1">
      <x:alignment vertical="top" wrapText="1"/>
    </x:xf>
    <x:xf numFmtId="0" fontId="5" fillId="0" borderId="2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7" fillId="0" borderId="8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0" fontId="7" fillId="0" borderId="11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4" xfId="0" applyNumberFormat="1" applyFont="1" applyFill="1" applyBorder="1"/>
    <x:xf numFmtId="0" fontId="8" fillId="8" borderId="15" xfId="0" applyNumberFormat="1" applyFont="1" applyFill="1" applyBorder="1"/>
    <x:xf numFmtId="0" fontId="8" fillId="8" borderId="16" xfId="0" applyNumberFormat="1" applyFont="1" applyFill="1" applyBorder="1"/>
    <x:xf numFmtId="0" fontId="8" fillId="8" borderId="17" xfId="0" applyNumberFormat="1" applyFont="1" applyFill="1" applyBorder="1"/>
    <x:xf numFmtId="0" fontId="8" fillId="8" borderId="18" xfId="0" applyNumberFormat="1" applyFont="1" applyFill="1" applyBorder="1"/>
    <x:xf numFmtId="0" fontId="8" fillId="8" borderId="19" xfId="0" applyNumberFormat="1" applyFont="1" applyFill="1" applyBorder="1"/>
    <x:xf numFmtId="0" fontId="8" fillId="8" borderId="20" xfId="0" applyNumberFormat="1" applyFont="1" applyFill="1" applyBorder="1"/>
    <x:xf numFmtId="0" fontId="8" fillId="8" borderId="21" xfId="0" applyNumberFormat="1" applyFont="1" applyFill="1" applyBorder="1"/>
    <x:xf numFmtId="0" fontId="8" fillId="8" borderId="14" xfId="0" applyNumberFormat="1" applyFont="1" applyFill="1" applyBorder="1" applyAlignment="1">
      <x:alignment wrapText="1"/>
    </x:xf>
    <x:xf numFmtId="0" fontId="8" fillId="8" borderId="15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wrapText="1"/>
    </x:xf>
    <x:xf numFmtId="0" fontId="8" fillId="8" borderId="17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8" xfId="0" applyNumberFormat="1" applyFont="1" applyFill="1" applyBorder="1" applyAlignment="1">
      <x:alignment wrapText="1"/>
    </x:xf>
    <x:xf numFmtId="0" fontId="8" fillId="8" borderId="19" xfId="0" applyNumberFormat="1" applyFont="1" applyFill="1" applyBorder="1" applyAlignment="1">
      <x:alignment wrapText="1"/>
    </x:xf>
    <x:xf numFmtId="0" fontId="8" fillId="8" borderId="20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wrapText="1"/>
    </x:xf>
    <x:xf numFmtId="0" fontId="8" fillId="8" borderId="14" xfId="0" applyNumberFormat="1" applyFont="1" applyFill="1" applyBorder="1" applyAlignment="1">
      <x:alignment horizontal="center" wrapText="1"/>
    </x:xf>
    <x:xf numFmtId="0" fontId="8" fillId="8" borderId="15" xfId="0" applyNumberFormat="1" applyFont="1" applyFill="1" applyBorder="1" applyAlignment="1">
      <x:alignment horizontal="center" wrapText="1"/>
    </x:xf>
    <x:xf numFmtId="0" fontId="8" fillId="8" borderId="16" xfId="0" applyNumberFormat="1" applyFont="1" applyFill="1" applyBorder="1" applyAlignment="1">
      <x:alignment horizontal="center" wrapText="1"/>
    </x:xf>
    <x:xf numFmtId="0" fontId="8" fillId="8" borderId="17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18" xfId="0" applyNumberFormat="1" applyFont="1" applyFill="1" applyBorder="1" applyAlignment="1">
      <x:alignment horizontal="center" wrapText="1"/>
    </x:xf>
    <x:xf numFmtId="0" fontId="8" fillId="8" borderId="19" xfId="0" applyNumberFormat="1" applyFont="1" applyFill="1" applyBorder="1" applyAlignment="1">
      <x:alignment horizontal="center" wrapText="1"/>
    </x:xf>
    <x:xf numFmtId="0" fontId="8" fillId="8" borderId="20" xfId="0" applyNumberFormat="1" applyFont="1" applyFill="1" applyBorder="1" applyAlignment="1">
      <x:alignment horizontal="center" wrapText="1"/>
    </x:xf>
    <x:xf numFmtId="0" fontId="8" fillId="8" borderId="21" xfId="0" applyNumberFormat="1" applyFont="1" applyFill="1" applyBorder="1" applyAlignment="1">
      <x:alignment horizontal="center" wrapText="1"/>
    </x:xf>
    <x:xf numFmtId="0" fontId="8" fillId="8" borderId="14" xfId="0" applyNumberFormat="1" applyFont="1" applyFill="1" applyBorder="1" applyAlignment="1">
      <x:alignment horizontal="center" vertical="center" wrapText="1"/>
    </x:xf>
    <x:xf numFmtId="0" fontId="8" fillId="8" borderId="15" xfId="0" applyNumberFormat="1" applyFont="1" applyFill="1" applyBorder="1" applyAlignment="1">
      <x:alignment horizontal="center" vertical="center" wrapText="1"/>
    </x:xf>
    <x:xf numFmtId="0" fontId="8" fillId="8" borderId="16" xfId="0" applyNumberFormat="1" applyFont="1" applyFill="1" applyBorder="1" applyAlignment="1">
      <x:alignment horizontal="center" vertical="center" wrapText="1"/>
    </x:xf>
    <x:xf numFmtId="0" fontId="8" fillId="8" borderId="17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18" xfId="0" applyNumberFormat="1" applyFont="1" applyFill="1" applyBorder="1" applyAlignment="1">
      <x:alignment horizontal="center" vertical="center" wrapText="1"/>
    </x:xf>
    <x:xf numFmtId="0" fontId="8" fillId="8" borderId="19" xfId="0" applyNumberFormat="1" applyFont="1" applyFill="1" applyBorder="1" applyAlignment="1">
      <x:alignment horizontal="center" vertical="center" wrapText="1"/>
    </x:xf>
    <x:xf numFmtId="0" fontId="8" fillId="8" borderId="20" xfId="0" applyNumberFormat="1" applyFont="1" applyFill="1" applyBorder="1" applyAlignment="1">
      <x:alignment horizontal="center" vertical="center" wrapText="1"/>
    </x:xf>
    <x:xf numFmtId="0" fontId="8" fillId="8" borderId="2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0" fontId="8" fillId="8" borderId="28" xfId="0" applyNumberFormat="1" applyFont="1" applyFill="1" applyBorder="1"/>
    <x:xf numFmtId="0" fontId="8" fillId="8" borderId="29" xfId="0" applyNumberFormat="1" applyFont="1" applyFill="1" applyBorder="1"/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9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horizontal="center" wrapText="1"/>
    </x:xf>
    <x:xf numFmtId="0" fontId="8" fillId="8" borderId="23" xfId="0" applyNumberFormat="1" applyFont="1" applyFill="1" applyBorder="1" applyAlignment="1">
      <x:alignment horizontal="center" wrapText="1"/>
    </x:xf>
    <x:xf numFmtId="0" fontId="8" fillId="8" borderId="24" xfId="0" applyNumberFormat="1" applyFont="1" applyFill="1" applyBorder="1" applyAlignment="1">
      <x:alignment horizontal="center" wrapText="1"/>
    </x:xf>
    <x:xf numFmtId="0" fontId="8" fillId="8" borderId="25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wrapText="1"/>
    </x:xf>
    <x:xf numFmtId="0" fontId="8" fillId="8" borderId="26" xfId="0" applyNumberFormat="1" applyFont="1" applyFill="1" applyBorder="1" applyAlignment="1">
      <x:alignment horizontal="center" wrapText="1"/>
    </x:xf>
    <x:xf numFmtId="0" fontId="8" fillId="8" borderId="27" xfId="0" applyNumberFormat="1" applyFont="1" applyFill="1" applyBorder="1" applyAlignment="1">
      <x:alignment horizontal="center" wrapText="1"/>
    </x:xf>
    <x:xf numFmtId="0" fontId="8" fillId="8" borderId="28" xfId="0" applyNumberFormat="1" applyFont="1" applyFill="1" applyBorder="1" applyAlignment="1">
      <x:alignment horizontal="center" wrapText="1"/>
    </x:xf>
    <x:xf numFmtId="0" fontId="8" fillId="8" borderId="29" xfId="0" applyNumberFormat="1" applyFont="1" applyFill="1" applyBorder="1" applyAlignment="1">
      <x:alignment horizontal="center" wrapText="1"/>
    </x:xf>
    <x:xf numFmtId="0" fontId="8" fillId="8" borderId="22" xfId="0" applyNumberFormat="1" applyFont="1" applyFill="1" applyBorder="1" applyAlignment="1">
      <x:alignment horizontal="center" vertical="center" wrapText="1"/>
    </x:xf>
    <x:xf numFmtId="0" fontId="8" fillId="8" borderId="23" xfId="0" applyNumberFormat="1" applyFont="1" applyFill="1" applyBorder="1" applyAlignment="1">
      <x:alignment horizontal="center" vertical="center" wrapText="1"/>
    </x:xf>
    <x:xf numFmtId="0" fontId="8" fillId="8" borderId="24" xfId="0" applyNumberFormat="1" applyFont="1" applyFill="1" applyBorder="1" applyAlignment="1">
      <x:alignment horizontal="center" vertical="center" wrapText="1"/>
    </x:xf>
    <x:xf numFmtId="0" fontId="8" fillId="8" borderId="25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8" fillId="8" borderId="26" xfId="0" applyNumberFormat="1" applyFont="1" applyFill="1" applyBorder="1" applyAlignment="1">
      <x:alignment horizontal="center" vertical="center" wrapText="1"/>
    </x:xf>
    <x:xf numFmtId="0" fontId="8" fillId="8" borderId="27" xfId="0" applyNumberFormat="1" applyFont="1" applyFill="1" applyBorder="1" applyAlignment="1">
      <x:alignment horizontal="center" vertical="center" wrapText="1"/>
    </x:xf>
    <x:xf numFmtId="0" fontId="8" fillId="8" borderId="28" xfId="0" applyNumberFormat="1" applyFont="1" applyFill="1" applyBorder="1" applyAlignment="1">
      <x:alignment horizontal="center" vertical="center" wrapText="1"/>
    </x:xf>
    <x:xf numFmtId="0" fontId="8" fillId="8" borderId="29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200" fontId="0" fillId="0" borderId="24" xfId="0" applyNumberFormat="1" applyFont="1" applyFill="1" applyBorder="1" applyAlignment="1">
      <x:alignment vertical="top" wrapText="1"/>
    </x:xf>
    <x:xf numFmtId="200" fontId="0" fillId="0" borderId="26" xfId="0" applyNumberFormat="1" applyFont="1" applyFill="1" applyBorder="1" applyAlignment="1">
      <x:alignment vertical="top" wrapText="1"/>
    </x:xf>
    <x:xf numFmtId="200" fontId="0" fillId="0" borderId="29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9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1" fontId="0" fillId="0" borderId="25" xfId="0" applyNumberFormat="1" applyFont="1" applyFill="1" applyBorder="1" applyAlignment="1">
      <x:alignment vertical="top" wrapText="1"/>
    </x:xf>
    <x:xf numFmtId="201" fontId="0" fillId="0" borderId="27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20" xfId="0" applyNumberFormat="1" applyFont="1" applyFill="1" applyBorder="1" applyAlignment="1">
      <x:alignment vertical="top" wrapText="1"/>
    </x:xf>
    <x:xf numFmtId="202" fontId="0" fillId="0" borderId="23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8" xfId="0" applyNumberFormat="1" applyFont="1" applyFill="1" applyBorder="1" applyAlignment="1">
      <x:alignment vertical="top" wrapText="1"/>
    </x:xf>
    <x:xf numFmtId="203" fontId="0" fillId="0" borderId="15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20" xfId="0" applyNumberFormat="1" applyFont="1" applyFill="1" applyBorder="1" applyAlignment="1">
      <x:alignment vertical="top" wrapText="1"/>
    </x:xf>
    <x:xf numFmtId="203" fontId="0" fillId="0" borderId="23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8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8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horizontal="left" vertical="center" wrapText="1"/>
    </x:xf>
    <x:xf numFmtId="0" fontId="13" fillId="6" borderId="8" xfId="0" applyNumberFormat="1" applyFont="1" applyFill="1" applyBorder="1" applyAlignment="1">
      <x:alignment horizontal="center" vertical="center" wrapText="1"/>
    </x:xf>
    <x:xf numFmtId="0" fontId="10" fillId="0" borderId="14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16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3" fillId="7" borderId="15" xfId="0" applyNumberFormat="1" applyFont="1" applyFill="1" applyBorder="1" applyAlignment="1">
      <x:alignment vertical="top" wrapText="1"/>
    </x:xf>
    <x:xf numFmtId="0" fontId="13" fillId="6" borderId="9" xfId="0" applyNumberFormat="1" applyFont="1" applyFill="1" applyBorder="1" applyAlignment="1">
      <x:alignment horizontal="center" vertical="center" wrapText="1"/>
    </x:xf>
    <x:xf numFmtId="0" fontId="10" fillId="0" borderId="17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8" xfId="0" applyNumberFormat="1" applyFont="1" applyFill="1" applyBorder="1" applyAlignment="1">
      <x:alignment vertical="top" wrapText="1"/>
    </x:xf>
    <x:xf numFmtId="0" fontId="13" fillId="0" borderId="17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top" wrapText="1"/>
    </x:xf>
    <x:xf numFmtId="200" fontId="13" fillId="7" borderId="0" xfId="0" applyNumberFormat="1" applyFont="1" applyFill="1" applyBorder="1" applyAlignment="1">
      <x:alignment vertical="top" wrapText="1"/>
    </x:xf>
    <x:xf numFmtId="0" fontId="13" fillId="6" borderId="10" xfId="0" applyNumberFormat="1" applyFont="1" applyFill="1" applyBorder="1" applyAlignment="1">
      <x:alignment horizontal="center" vertical="center" wrapText="1"/>
    </x:xf>
    <x:xf numFmtId="0" fontId="10" fillId="0" borderId="19" xfId="0" applyNumberFormat="1" applyFont="1" applyFill="1" applyBorder="1" applyAlignment="1">
      <x:alignment vertical="top" wrapText="1"/>
    </x:xf>
    <x:xf numFmtId="0" fontId="10" fillId="0" borderId="20" xfId="0" applyNumberFormat="1" applyFont="1" applyFill="1" applyBorder="1" applyAlignment="1">
      <x:alignment vertical="top" wrapText="1"/>
    </x:xf>
    <x:xf numFmtId="0" fontId="10" fillId="0" borderId="21" xfId="0" applyNumberFormat="1" applyFont="1" applyFill="1" applyBorder="1" applyAlignment="1">
      <x:alignment vertical="top" wrapText="1"/>
    </x:xf>
    <x:xf numFmtId="0" fontId="13" fillId="0" borderId="19" xfId="0" applyNumberFormat="1" applyFont="1" applyFill="1" applyBorder="1" applyAlignment="1">
      <x:alignment vertical="top" wrapText="1"/>
    </x:xf>
    <x:xf numFmtId="0" fontId="13" fillId="7" borderId="20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horizontal="center" vertical="center" wrapText="1"/>
    </x:xf>
    <x:xf numFmtId="200" fontId="15" fillId="0" borderId="8" xfId="0" applyNumberFormat="1" applyFont="1" applyFill="1" applyBorder="1" applyAlignment="1">
      <x:alignment vertical="top" wrapText="1"/>
    </x:xf>
    <x:xf numFmtId="0" fontId="15" fillId="0" borderId="8" xfId="0" applyNumberFormat="1" applyFont="1" applyFill="1" applyBorder="1" applyAlignment="1">
      <x:alignment vertical="top" wrapText="1"/>
    </x:xf>
    <x:xf numFmtId="0" fontId="16" fillId="2" borderId="2" xfId="0" applyNumberFormat="1" applyFont="1" applyFill="1" applyBorder="1" applyAlignment="1">
      <x:alignment horizontal="center" vertical="center" wrapText="1"/>
    </x:xf>
    <x:xf numFmtId="0" fontId="16" fillId="2" borderId="3" xfId="0" applyNumberFormat="1" applyFont="1" applyFill="1" applyBorder="1" applyAlignment="1">
      <x:alignment horizontal="center" vertical="center" wrapText="1"/>
    </x:xf>
    <x:xf numFmtId="0" fontId="16" fillId="2" borderId="4" xfId="0" applyNumberFormat="1" applyFont="1" applyFill="1" applyBorder="1" applyAlignment="1">
      <x:alignment horizontal="center" vertical="center" wrapText="1"/>
    </x:xf>
    <x:xf numFmtId="200" fontId="15" fillId="0" borderId="9" xfId="0" applyNumberFormat="1" applyFont="1" applyFill="1" applyBorder="1" applyAlignment="1">
      <x:alignment vertical="top" wrapText="1"/>
    </x:xf>
    <x:xf numFmtId="0" fontId="15" fillId="0" borderId="9" xfId="0" applyNumberFormat="1" applyFont="1" applyFill="1" applyBorder="1" applyAlignment="1">
      <x:alignment vertical="top" wrapText="1"/>
    </x:xf>
    <x:xf numFmtId="0" fontId="15" fillId="0" borderId="10" xfId="0" applyNumberFormat="1" applyFont="1" applyFill="1" applyBorder="1" applyAlignment="1">
      <x:alignment vertical="top" wrapText="1"/>
    </x:xf>
    <x:xf numFmtId="0" fontId="17" fillId="8" borderId="14" xfId="0" applyNumberFormat="1" applyFont="1" applyFill="1" applyBorder="1" applyAlignment="1">
      <x:alignment horizontal="center" vertical="center" wrapText="1"/>
    </x:xf>
    <x:xf numFmtId="0" fontId="17" fillId="8" borderId="15" xfId="0" applyNumberFormat="1" applyFont="1" applyFill="1" applyBorder="1" applyAlignment="1">
      <x:alignment horizontal="center" vertical="center" wrapText="1"/>
    </x:xf>
    <x:xf numFmtId="0" fontId="17" fillId="8" borderId="16" xfId="0" applyNumberFormat="1" applyFont="1" applyFill="1" applyBorder="1" applyAlignment="1">
      <x:alignment horizontal="center" vertical="center" wrapText="1"/>
    </x:xf>
    <x:xf numFmtId="0" fontId="17" fillId="8" borderId="17" xfId="0" applyNumberFormat="1" applyFont="1" applyFill="1" applyBorder="1" applyAlignment="1">
      <x:alignment horizontal="center" vertical="center" wrapText="1"/>
    </x:xf>
    <x:xf numFmtId="0" fontId="17" fillId="8" borderId="0" xfId="0" applyNumberFormat="1" applyFont="1" applyFill="1" applyBorder="1" applyAlignment="1">
      <x:alignment horizontal="center" vertical="center" wrapText="1"/>
    </x:xf>
    <x:xf numFmtId="0" fontId="17" fillId="8" borderId="18" xfId="0" applyNumberFormat="1" applyFont="1" applyFill="1" applyBorder="1" applyAlignment="1">
      <x:alignment horizontal="center" vertical="center" wrapText="1"/>
    </x:xf>
    <x:xf numFmtId="0" fontId="17" fillId="8" borderId="19" xfId="0" applyNumberFormat="1" applyFont="1" applyFill="1" applyBorder="1" applyAlignment="1">
      <x:alignment horizontal="center" vertical="center" wrapText="1"/>
    </x:xf>
    <x:xf numFmtId="0" fontId="17" fillId="8" borderId="20" xfId="0" applyNumberFormat="1" applyFont="1" applyFill="1" applyBorder="1" applyAlignment="1">
      <x:alignment horizontal="center" vertical="center" wrapText="1"/>
    </x:xf>
    <x:xf numFmtId="0" fontId="17" fillId="8" borderId="21" xfId="0" applyNumberFormat="1" applyFont="1" applyFill="1" applyBorder="1" applyAlignment="1">
      <x:alignment horizontal="center" vertical="center" wrapText="1"/>
    </x:xf>
    <x:xf numFmtId="0" fontId="9" fillId="3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wrapText="1"/>
    </x:xf>
    <x:xf numFmtId="0" fontId="12" fillId="5" borderId="1" xfId="0" applyNumberFormat="1" applyFont="1" applyFill="1" applyBorder="1" applyAlignment="1">
      <x:alignment horizontal="left" vertical="center" wrapText="1"/>
    </x:xf>
    <x:xf numFmtId="0" fontId="13" fillId="6" borderId="11" xfId="0" applyNumberFormat="1" applyFont="1" applyFill="1" applyBorder="1" applyAlignment="1">
      <x:alignment horizontal="center" vertical="center" wrapText="1"/>
    </x:xf>
    <x:xf numFmtId="0" fontId="10" fillId="0" borderId="22" xfId="0" applyNumberFormat="1" applyFont="1" applyFill="1" applyBorder="1" applyAlignment="1">
      <x:alignment vertical="top" wrapText="1"/>
    </x:xf>
    <x:xf numFmtId="0" fontId="10" fillId="0" borderId="23" xfId="0" applyNumberFormat="1" applyFont="1" applyFill="1" applyBorder="1" applyAlignment="1">
      <x:alignment vertical="top" wrapText="1"/>
    </x:xf>
    <x:xf numFmtId="0" fontId="10" fillId="0" borderId="24" xfId="0" applyNumberFormat="1" applyFont="1" applyFill="1" applyBorder="1" applyAlignment="1">
      <x:alignment vertical="top" wrapText="1"/>
    </x:xf>
    <x:xf numFmtId="0" fontId="13" fillId="0" borderId="22" xfId="0" applyNumberFormat="1" applyFont="1" applyFill="1" applyBorder="1" applyAlignment="1">
      <x:alignment vertical="top" wrapText="1"/>
    </x:xf>
    <x:xf numFmtId="0" fontId="13" fillId="7" borderId="23" xfId="0" applyNumberFormat="1" applyFont="1" applyFill="1" applyBorder="1" applyAlignment="1">
      <x:alignment vertical="top" wrapText="1"/>
    </x:xf>
    <x:xf numFmtId="0" fontId="13" fillId="6" borderId="12" xfId="0" applyNumberFormat="1" applyFont="1" applyFill="1" applyBorder="1" applyAlignment="1">
      <x:alignment horizontal="center" vertical="center" wrapText="1"/>
    </x:xf>
    <x:xf numFmtId="0" fontId="10" fillId="0" borderId="25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26" xfId="0" applyNumberFormat="1" applyFont="1" applyFill="1" applyBorder="1" applyAlignment="1">
      <x:alignment vertical="top" wrapText="1"/>
    </x:xf>
    <x:xf numFmtId="0" fontId="13" fillId="0" borderId="25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vertical="top" wrapText="1"/>
    </x:xf>
    <x:xf numFmtId="200" fontId="13" fillId="7" borderId="1" xfId="0" applyNumberFormat="1" applyFont="1" applyFill="1" applyBorder="1" applyAlignment="1">
      <x:alignment vertical="top" wrapText="1"/>
    </x:xf>
    <x:xf numFmtId="0" fontId="13" fillId="6" borderId="13" xfId="0" applyNumberFormat="1" applyFont="1" applyFill="1" applyBorder="1" applyAlignment="1">
      <x:alignment horizontal="center" vertical="center" wrapText="1"/>
    </x:xf>
    <x:xf numFmtId="0" fontId="10" fillId="0" borderId="27" xfId="0" applyNumberFormat="1" applyFont="1" applyFill="1" applyBorder="1" applyAlignment="1">
      <x:alignment vertical="top" wrapText="1"/>
    </x:xf>
    <x:xf numFmtId="0" fontId="10" fillId="0" borderId="28" xfId="0" applyNumberFormat="1" applyFont="1" applyFill="1" applyBorder="1" applyAlignment="1">
      <x:alignment vertical="top" wrapText="1"/>
    </x:xf>
    <x:xf numFmtId="0" fontId="10" fillId="0" borderId="29" xfId="0" applyNumberFormat="1" applyFont="1" applyFill="1" applyBorder="1" applyAlignment="1">
      <x:alignment vertical="top" wrapText="1"/>
    </x:xf>
    <x:xf numFmtId="0" fontId="13" fillId="0" borderId="27" xfId="0" applyNumberFormat="1" applyFont="1" applyFill="1" applyBorder="1" applyAlignment="1">
      <x:alignment vertical="top" wrapText="1"/>
    </x:xf>
    <x:xf numFmtId="0" fontId="13" fillId="7" borderId="28" xfId="0" applyNumberFormat="1" applyFont="1" applyFill="1" applyBorder="1" applyAlignment="1">
      <x:alignment vertical="top" wrapText="1"/>
    </x:xf>
    <x:xf numFmtId="0" fontId="14" fillId="6" borderId="1" xfId="0" applyNumberFormat="1" applyFont="1" applyFill="1" applyBorder="1" applyAlignment="1">
      <x:alignment horizontal="center" vertical="center" wrapText="1"/>
    </x:xf>
    <x:xf numFmtId="200" fontId="15" fillId="0" borderId="11" xfId="0" applyNumberFormat="1" applyFont="1" applyFill="1" applyBorder="1" applyAlignment="1">
      <x:alignment vertical="top" wrapText="1"/>
    </x:xf>
    <x:xf numFmtId="0" fontId="15" fillId="0" borderId="11" xfId="0" applyNumberFormat="1" applyFont="1" applyFill="1" applyBorder="1" applyAlignment="1">
      <x:alignment vertical="top" wrapText="1"/>
    </x:xf>
    <x:xf numFmtId="0" fontId="16" fillId="2" borderId="5" xfId="0" applyNumberFormat="1" applyFont="1" applyFill="1" applyBorder="1" applyAlignment="1">
      <x:alignment horizontal="center" vertical="center" wrapText="1"/>
    </x:xf>
    <x:xf numFmtId="0" fontId="16" fillId="2" borderId="6" xfId="0" applyNumberFormat="1" applyFont="1" applyFill="1" applyBorder="1" applyAlignment="1">
      <x:alignment horizontal="center" vertical="center" wrapText="1"/>
    </x:xf>
    <x:xf numFmtId="0" fontId="16" fillId="2" borderId="7" xfId="0" applyNumberFormat="1" applyFont="1" applyFill="1" applyBorder="1" applyAlignment="1">
      <x:alignment horizontal="center" vertical="center" wrapText="1"/>
    </x:xf>
    <x:xf numFmtId="200" fontId="15" fillId="0" borderId="12" xfId="0" applyNumberFormat="1" applyFont="1" applyFill="1" applyBorder="1" applyAlignment="1">
      <x:alignment vertical="top" wrapText="1"/>
    </x:xf>
    <x:xf numFmtId="0" fontId="15" fillId="0" borderId="12" xfId="0" applyNumberFormat="1" applyFont="1" applyFill="1" applyBorder="1" applyAlignment="1">
      <x:alignment vertical="top" wrapText="1"/>
    </x:xf>
    <x:xf numFmtId="0" fontId="15" fillId="0" borderId="13" xfId="0" applyNumberFormat="1" applyFont="1" applyFill="1" applyBorder="1" applyAlignment="1">
      <x:alignment vertical="top" wrapText="1"/>
    </x:xf>
    <x:xf numFmtId="0" fontId="17" fillId="8" borderId="22" xfId="0" applyNumberFormat="1" applyFont="1" applyFill="1" applyBorder="1" applyAlignment="1">
      <x:alignment horizontal="center" vertical="center" wrapText="1"/>
    </x:xf>
    <x:xf numFmtId="0" fontId="17" fillId="8" borderId="23" xfId="0" applyNumberFormat="1" applyFont="1" applyFill="1" applyBorder="1" applyAlignment="1">
      <x:alignment horizontal="center" vertical="center" wrapText="1"/>
    </x:xf>
    <x:xf numFmtId="0" fontId="17" fillId="8" borderId="24" xfId="0" applyNumberFormat="1" applyFont="1" applyFill="1" applyBorder="1" applyAlignment="1">
      <x:alignment horizontal="center" vertical="center" wrapText="1"/>
    </x:xf>
    <x:xf numFmtId="0" fontId="17" fillId="8" borderId="25" xfId="0" applyNumberFormat="1" applyFont="1" applyFill="1" applyBorder="1" applyAlignment="1">
      <x:alignment horizontal="center" vertical="center" wrapText="1"/>
    </x:xf>
    <x:xf numFmtId="0" fontId="17" fillId="8" borderId="1" xfId="0" applyNumberFormat="1" applyFont="1" applyFill="1" applyBorder="1" applyAlignment="1">
      <x:alignment horizontal="center" vertical="center" wrapText="1"/>
    </x:xf>
    <x:xf numFmtId="0" fontId="17" fillId="8" borderId="26" xfId="0" applyNumberFormat="1" applyFont="1" applyFill="1" applyBorder="1" applyAlignment="1">
      <x:alignment horizontal="center" vertical="center" wrapText="1"/>
    </x:xf>
    <x:xf numFmtId="0" fontId="17" fillId="8" borderId="27" xfId="0" applyNumberFormat="1" applyFont="1" applyFill="1" applyBorder="1" applyAlignment="1">
      <x:alignment horizontal="center" vertical="center" wrapText="1"/>
    </x:xf>
    <x:xf numFmtId="0" fontId="17" fillId="8" borderId="28" xfId="0" applyNumberFormat="1" applyFont="1" applyFill="1" applyBorder="1" applyAlignment="1">
      <x:alignment horizontal="center" vertical="center" wrapText="1"/>
    </x:xf>
    <x:xf numFmtId="0" fontId="17" fillId="8" borderId="29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 applyAlignment="1">
      <x:alignment horizontal="center" vertical="center"/>
    </x:xf>
    <x:xf numFmtId="200" fontId="10" fillId="0" borderId="16" xfId="0" applyNumberFormat="1" applyFont="1" applyFill="1" applyBorder="1" applyAlignment="1">
      <x:alignment vertical="top" wrapText="1"/>
    </x:xf>
    <x:xf numFmtId="200" fontId="10" fillId="0" borderId="18" xfId="0" applyNumberFormat="1" applyFont="1" applyFill="1" applyBorder="1" applyAlignment="1">
      <x:alignment vertical="top" wrapText="1"/>
    </x:xf>
    <x:xf numFmtId="200" fontId="10" fillId="0" borderId="2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 applyAlignment="1">
      <x:alignment horizontal="center" vertical="center"/>
    </x:xf>
    <x:xf numFmtId="200" fontId="10" fillId="0" borderId="24" xfId="0" applyNumberFormat="1" applyFont="1" applyFill="1" applyBorder="1" applyAlignment="1">
      <x:alignment vertical="top" wrapText="1"/>
    </x:xf>
    <x:xf numFmtId="200" fontId="10" fillId="0" borderId="26" xfId="0" applyNumberFormat="1" applyFont="1" applyFill="1" applyBorder="1" applyAlignment="1">
      <x:alignment vertical="top" wrapText="1"/>
    </x:xf>
    <x:xf numFmtId="200" fontId="10" fillId="0" borderId="29" xfId="0" applyNumberFormat="1" applyFont="1" applyFill="1" applyBorder="1" applyAlignment="1">
      <x:alignment vertical="top" wrapText="1"/>
    </x:xf>
    <x:xf numFmtId="0" fontId="10" fillId="7" borderId="15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20" xfId="0" applyNumberFormat="1" applyFont="1" applyFill="1" applyBorder="1" applyAlignment="1">
      <x:alignment vertical="top" wrapText="1"/>
    </x:xf>
    <x:xf numFmtId="0" fontId="10" fillId="7" borderId="23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7" borderId="28" xfId="0" applyNumberFormat="1" applyFont="1" applyFill="1" applyBorder="1" applyAlignment="1">
      <x:alignment vertical="top" wrapText="1"/>
    </x:xf>
    <x:xf numFmtId="201" fontId="10" fillId="0" borderId="14" xfId="0" applyNumberFormat="1" applyFont="1" applyFill="1" applyBorder="1" applyAlignment="1">
      <x:alignment vertical="top" wrapText="1"/>
    </x:xf>
    <x:xf numFmtId="202" fontId="10" fillId="0" borderId="15" xfId="0" applyNumberFormat="1" applyFont="1" applyFill="1" applyBorder="1" applyAlignment="1">
      <x:alignment vertical="top" wrapText="1"/>
    </x:xf>
    <x:xf numFmtId="203" fontId="10" fillId="0" borderId="15" xfId="0" applyNumberFormat="1" applyFont="1" applyFill="1" applyBorder="1" applyAlignment="1">
      <x:alignment vertical="top" wrapText="1"/>
    </x:xf>
    <x:xf numFmtId="201" fontId="10" fillId="0" borderId="17" xfId="0" applyNumberFormat="1" applyFont="1" applyFill="1" applyBorder="1" applyAlignment="1">
      <x:alignment vertical="top" wrapText="1"/>
    </x:xf>
    <x:xf numFmtId="202" fontId="10" fillId="0" borderId="0" xfId="0" applyNumberFormat="1" applyFont="1" applyFill="1" applyBorder="1" applyAlignment="1">
      <x:alignment vertical="top" wrapText="1"/>
    </x:xf>
    <x:xf numFmtId="203" fontId="10" fillId="0" borderId="0" xfId="0" applyNumberFormat="1" applyFont="1" applyFill="1" applyBorder="1" applyAlignment="1">
      <x:alignment vertical="top" wrapText="1"/>
    </x:xf>
    <x:xf numFmtId="201" fontId="10" fillId="0" borderId="19" xfId="0" applyNumberFormat="1" applyFont="1" applyFill="1" applyBorder="1" applyAlignment="1">
      <x:alignment vertical="top" wrapText="1"/>
    </x:xf>
    <x:xf numFmtId="202" fontId="10" fillId="0" borderId="20" xfId="0" applyNumberFormat="1" applyFont="1" applyFill="1" applyBorder="1" applyAlignment="1">
      <x:alignment vertical="top" wrapText="1"/>
    </x:xf>
    <x:xf numFmtId="203" fontId="10" fillId="0" borderId="20" xfId="0" applyNumberFormat="1" applyFont="1" applyFill="1" applyBorder="1" applyAlignment="1">
      <x:alignment vertical="top" wrapText="1"/>
    </x:xf>
    <x:xf numFmtId="201" fontId="10" fillId="0" borderId="22" xfId="0" applyNumberFormat="1" applyFont="1" applyFill="1" applyBorder="1" applyAlignment="1">
      <x:alignment vertical="top" wrapText="1"/>
    </x:xf>
    <x:xf numFmtId="202" fontId="10" fillId="0" borderId="23" xfId="0" applyNumberFormat="1" applyFont="1" applyFill="1" applyBorder="1" applyAlignment="1">
      <x:alignment vertical="top" wrapText="1"/>
    </x:xf>
    <x:xf numFmtId="203" fontId="10" fillId="0" borderId="23" xfId="0" applyNumberFormat="1" applyFont="1" applyFill="1" applyBorder="1" applyAlignment="1">
      <x:alignment vertical="top" wrapText="1"/>
    </x:xf>
    <x:xf numFmtId="201" fontId="10" fillId="0" borderId="25" xfId="0" applyNumberFormat="1" applyFont="1" applyFill="1" applyBorder="1" applyAlignment="1">
      <x:alignment vertical="top" wrapText="1"/>
    </x:xf>
    <x:xf numFmtId="202" fontId="10" fillId="0" borderId="1" xfId="0" applyNumberFormat="1" applyFont="1" applyFill="1" applyBorder="1" applyAlignment="1">
      <x:alignment vertical="top" wrapText="1"/>
    </x:xf>
    <x:xf numFmtId="203" fontId="10" fillId="0" borderId="1" xfId="0" applyNumberFormat="1" applyFont="1" applyFill="1" applyBorder="1" applyAlignment="1">
      <x:alignment vertical="top" wrapText="1"/>
    </x:xf>
    <x:xf numFmtId="201" fontId="10" fillId="0" borderId="27" xfId="0" applyNumberFormat="1" applyFont="1" applyFill="1" applyBorder="1" applyAlignment="1">
      <x:alignment vertical="top" wrapText="1"/>
    </x:xf>
    <x:xf numFmtId="202" fontId="10" fillId="0" borderId="28" xfId="0" applyNumberFormat="1" applyFont="1" applyFill="1" applyBorder="1" applyAlignment="1">
      <x:alignment vertical="top" wrapText="1"/>
    </x:xf>
    <x:xf numFmtId="203" fontId="10" fillId="0" borderId="28" xfId="0" applyNumberFormat="1" applyFont="1" applyFill="1" applyBorder="1" applyAlignment="1">
      <x:alignment vertical="top" wrapText="1"/>
    </x:xf>
    <x:xf numFmtId="201" fontId="10" fillId="0" borderId="15" xfId="0" applyNumberFormat="1" applyFont="1" applyFill="1" applyBorder="1" applyAlignment="1">
      <x:alignment vertical="top" wrapText="1"/>
    </x:xf>
    <x:xf numFmtId="201" fontId="10" fillId="0" borderId="0" xfId="0" applyNumberFormat="1" applyFont="1" applyFill="1" applyBorder="1" applyAlignment="1">
      <x:alignment vertical="top" wrapText="1"/>
    </x:xf>
    <x:xf numFmtId="201" fontId="10" fillId="0" borderId="20" xfId="0" applyNumberFormat="1" applyFont="1" applyFill="1" applyBorder="1" applyAlignment="1">
      <x:alignment vertical="top" wrapText="1"/>
    </x:xf>
    <x:xf numFmtId="201" fontId="10" fillId="0" borderId="23" xfId="0" applyNumberFormat="1" applyFont="1" applyFill="1" applyBorder="1" applyAlignment="1">
      <x:alignment vertical="top" wrapText="1"/>
    </x:xf>
    <x:xf numFmtId="201" fontId="10" fillId="0" borderId="1" xfId="0" applyNumberFormat="1" applyFont="1" applyFill="1" applyBorder="1" applyAlignment="1">
      <x:alignment vertical="top" wrapText="1"/>
    </x:xf>
    <x:xf numFmtId="201" fontId="10" fillId="0" borderId="28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horizontal="left" vertical="center"/>
    </x:xf>
    <x:xf numFmtId="0" fontId="13" fillId="9" borderId="15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200" fontId="13" fillId="10" borderId="0" xfId="0" applyNumberFormat="1" applyFont="1" applyFill="1" applyBorder="1" applyAlignment="1">
      <x:alignment vertical="top" wrapText="1"/>
    </x:xf>
    <x:xf numFmtId="0" fontId="13" fillId="10" borderId="20" xfId="0" applyNumberFormat="1" applyFont="1" applyFill="1" applyBorder="1" applyAlignment="1">
      <x:alignment vertical="top" wrapText="1"/>
    </x:xf>
    <x:xf numFmtId="0" fontId="18" fillId="10" borderId="0" xfId="0" applyNumberFormat="1" applyFont="1" applyFill="1" applyBorder="1" applyAlignment="1">
      <x:alignment vertical="top" wrapText="1"/>
    </x:xf>
    <x:xf numFmtId="200" fontId="18" fillId="10" borderId="0" xfId="0" applyNumberFormat="1" applyFont="1" applyFill="1" applyBorder="1" applyAlignment="1">
      <x:alignment vertical="top" wrapText="1"/>
    </x:xf>
    <x:xf numFmtId="0" fontId="18" fillId="10" borderId="20" xfId="0" applyNumberFormat="1" applyFont="1" applyFill="1" applyBorder="1" applyAlignment="1">
      <x:alignment vertical="top" wrapText="1"/>
    </x:xf>
    <x:xf numFmtId="0" fontId="18" fillId="10" borderId="8" xfId="0" applyNumberFormat="1" applyFont="1" applyFill="1" applyBorder="1" applyAlignment="1">
      <x:alignment vertical="top" wrapText="1"/>
    </x:xf>
    <x:xf numFmtId="0" fontId="18" fillId="10" borderId="9" xfId="0" applyNumberFormat="1" applyFont="1" applyFill="1" applyBorder="1" applyAlignment="1">
      <x:alignment vertical="top" wrapText="1"/>
    </x:xf>
    <x:xf numFmtId="200" fontId="18" fillId="10" borderId="9" xfId="0" applyNumberFormat="1" applyFont="1" applyFill="1" applyBorder="1" applyAlignment="1">
      <x:alignment vertical="top" wrapText="1"/>
    </x:xf>
    <x:xf numFmtId="0" fontId="18" fillId="10" borderId="10" xfId="0" applyNumberFormat="1" applyFont="1" applyFill="1" applyBorder="1" applyAlignment="1">
      <x:alignment vertical="top" wrapText="1"/>
    </x:xf>
    <x:xf numFmtId="0" fontId="18" fillId="10" borderId="8" xfId="0" applyNumberFormat="1" applyFont="1" applyFill="1" applyBorder="1" applyAlignment="1">
      <x:alignment horizontal="center" vertical="top" wrapText="1"/>
    </x:xf>
    <x:xf numFmtId="0" fontId="18" fillId="10" borderId="9" xfId="0" applyNumberFormat="1" applyFont="1" applyFill="1" applyBorder="1" applyAlignment="1">
      <x:alignment horizontal="center" vertical="top" wrapText="1"/>
    </x:xf>
    <x:xf numFmtId="200" fontId="18" fillId="10" borderId="9" xfId="0" applyNumberFormat="1" applyFont="1" applyFill="1" applyBorder="1" applyAlignment="1">
      <x:alignment horizontal="center" vertical="top" wrapText="1"/>
    </x:xf>
    <x:xf numFmtId="0" fontId="18" fillId="10" borderId="10" xfId="0" applyNumberFormat="1" applyFont="1" applyFill="1" applyBorder="1" applyAlignment="1">
      <x:alignment horizontal="center" vertical="top" wrapText="1"/>
    </x:xf>
    <x:xf numFmtId="0" fontId="18" fillId="10" borderId="8" xfId="0" applyNumberFormat="1" applyFont="1" applyFill="1" applyBorder="1" applyAlignment="1">
      <x:alignment horizontal="center" vertical="center" wrapText="1"/>
    </x:xf>
    <x:xf numFmtId="0" fontId="18" fillId="10" borderId="9" xfId="0" applyNumberFormat="1" applyFont="1" applyFill="1" applyBorder="1" applyAlignment="1">
      <x:alignment horizontal="center" vertical="center" wrapText="1"/>
    </x:xf>
    <x:xf numFmtId="200" fontId="18" fillId="10" borderId="9" xfId="0" applyNumberFormat="1" applyFont="1" applyFill="1" applyBorder="1" applyAlignment="1">
      <x:alignment horizontal="center" vertical="center" wrapText="1"/>
    </x:xf>
    <x:xf numFmtId="0" fontId="18" fillId="10" borderId="10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 applyAlignment="1">
      <x:alignment vertical="top" wrapText="1"/>
    </x:xf>
    <x:xf numFmtId="0" fontId="10" fillId="10" borderId="20" xfId="0" applyNumberFormat="1" applyFont="1" applyFill="1" applyBorder="1" applyAlignment="1">
      <x:alignment vertical="top" wrapText="1"/>
    </x:xf>
    <x:xf numFmtId="0" fontId="19" fillId="10" borderId="0" xfId="0" applyNumberFormat="1" applyFont="1" applyFill="1" applyBorder="1" applyAlignment="1">
      <x:alignment vertical="top" wrapText="1"/>
    </x:xf>
    <x:xf numFmtId="0" fontId="19" fillId="10" borderId="20" xfId="0" applyNumberFormat="1" applyFont="1" applyFill="1" applyBorder="1" applyAlignment="1">
      <x:alignment vertical="top" wrapText="1"/>
    </x:xf>
    <x:xf numFmtId="202" fontId="18" fillId="10" borderId="8" xfId="0" applyNumberFormat="1" applyFont="1" applyFill="1" applyBorder="1" applyAlignment="1">
      <x:alignment horizontal="center" vertical="center" wrapText="1"/>
    </x:xf>
    <x:xf numFmtId="204" fontId="18" fillId="10" borderId="9" xfId="0" applyNumberFormat="1" applyFont="1" applyFill="1" applyBorder="1" applyAlignment="1">
      <x:alignment horizontal="center" vertical="center" wrapText="1"/>
    </x:xf>
    <x:xf numFmtId="202" fontId="18" fillId="10" borderId="10" xfId="0" applyNumberFormat="1" applyFont="1" applyFill="1" applyBorder="1" applyAlignment="1">
      <x:alignment horizontal="center" vertical="center" wrapText="1"/>
    </x:xf>
    <x:xf numFmtId="204" fontId="15" fillId="0" borderId="1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horizontal="left" wrapText="1"/>
    </x:xf>
    <x:xf numFmtId="0" fontId="12" fillId="11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wrapText="1"/>
    </x:xf>
    <x:xf numFmtId="0" fontId="14" fillId="12" borderId="8" xfId="0" applyNumberFormat="1" applyFont="1" applyFill="1" applyBorder="1" applyAlignment="1">
      <x:alignment wrapText="1"/>
    </x:xf>
    <x:xf numFmtId="0" fontId="14" fillId="12" borderId="9" xfId="0" applyNumberFormat="1" applyFont="1" applyFill="1" applyBorder="1" applyAlignment="1">
      <x:alignment wrapText="1"/>
    </x:xf>
    <x:xf numFmtId="0" fontId="14" fillId="12" borderId="10" xfId="0" applyNumberFormat="1" applyFont="1" applyFill="1" applyBorder="1" applyAlignment="1">
      <x:alignment wrapText="1"/>
    </x:xf>
    <x:xf numFmtId="0" fontId="14" fillId="12" borderId="8" xfId="0" applyNumberFormat="1" applyFont="1" applyFill="1" applyBorder="1" applyAlignment="1">
      <x:alignment vertical="center" wrapText="1"/>
    </x:xf>
    <x:xf numFmtId="0" fontId="14" fillId="12" borderId="9" xfId="0" applyNumberFormat="1" applyFont="1" applyFill="1" applyBorder="1" applyAlignment="1">
      <x:alignment vertical="center" wrapText="1"/>
    </x:xf>
    <x:xf numFmtId="0" fontId="14" fillId="12" borderId="1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 applyAlignment="1">
      <x:alignment wrapText="1"/>
    </x:xf>
    <x:xf numFmtId="0" fontId="18" fillId="10" borderId="8" xfId="0" applyNumberFormat="1" applyFont="1" applyFill="1" applyBorder="1" applyAlignment="1">
      <x:alignment wrapText="1"/>
    </x:xf>
    <x:xf numFmtId="0" fontId="18" fillId="10" borderId="9" xfId="0" applyNumberFormat="1" applyFont="1" applyFill="1" applyBorder="1" applyAlignment="1">
      <x:alignment wrapText="1"/>
    </x:xf>
    <x:xf numFmtId="0" fontId="18" fillId="10" borderId="10" xfId="0" applyNumberFormat="1" applyFont="1" applyFill="1" applyBorder="1" applyAlignment="1">
      <x:alignment wrapText="1"/>
    </x:xf>
    <x:xf numFmtId="0" fontId="18" fillId="10" borderId="8" xfId="0" applyNumberFormat="1" applyFont="1" applyFill="1" applyBorder="1" applyAlignment="1">
      <x:alignment horizontal="center" wrapText="1"/>
    </x:xf>
    <x:xf numFmtId="0" fontId="18" fillId="10" borderId="9" xfId="0" applyNumberFormat="1" applyFont="1" applyFill="1" applyBorder="1" applyAlignment="1">
      <x:alignment horizontal="center" wrapText="1"/>
    </x:xf>
    <x:xf numFmtId="0" fontId="18" fillId="10" borderId="10" xfId="0" applyNumberFormat="1" applyFont="1" applyFill="1" applyBorder="1" applyAlignment="1">
      <x:alignment horizontal="center" wrapText="1"/>
    </x:xf>
    <x:xf numFmtId="202" fontId="18" fillId="10" borderId="9" xfId="0" applyNumberFormat="1" applyFont="1" applyFill="1" applyBorder="1" applyAlignment="1">
      <x:alignment horizontal="center" vertical="center" wrapText="1"/>
    </x:xf>
    <x:xf numFmtId="203" fontId="18" fillId="10" borderId="9" xfId="0" applyNumberFormat="1" applyFont="1" applyFill="1" applyBorder="1" applyAlignment="1">
      <x:alignment horizontal="center" vertical="center" wrapText="1"/>
    </x:xf>
    <x:xf numFmtId="203" fontId="18" fillId="10" borderId="10" xfId="0" applyNumberFormat="1" applyFont="1" applyFill="1" applyBorder="1" applyAlignment="1">
      <x:alignment horizontal="center" vertical="center" wrapText="1"/>
    </x:xf>
    <x:xf numFmtId="0" fontId="14" fillId="12" borderId="30" xfId="0" applyNumberFormat="1" applyFont="1" applyFill="1" applyBorder="1" applyAlignment="1">
      <x:alignment wrapText="1"/>
    </x:xf>
    <x:xf numFmtId="0" fontId="14" fillId="12" borderId="30" xfId="0" applyNumberFormat="1" applyFont="1" applyFill="1" applyBorder="1" applyAlignment="1">
      <x:alignment vertical="center" wrapText="1"/>
    </x:xf>
    <x:xf numFmtId="0" fontId="18" fillId="10" borderId="30" xfId="0" applyNumberFormat="1" applyFont="1" applyFill="1" applyBorder="1" applyAlignment="1">
      <x:alignment wrapText="1"/>
    </x:xf>
    <x:xf numFmtId="0" fontId="18" fillId="10" borderId="30" xfId="0" applyNumberFormat="1" applyFont="1" applyFill="1" applyBorder="1" applyAlignment="1">
      <x:alignment horizontal="center" wrapText="1"/>
    </x:xf>
    <x:xf numFmtId="0" fontId="18" fillId="10" borderId="3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wrapText="1"/>
    </x:xf>
    <x:xf numFmtId="0" fontId="11" fillId="13" borderId="14" xfId="0" applyNumberFormat="1" applyFont="1" applyFill="1" applyBorder="1" applyAlignment="1">
      <x:alignment wrapText="1"/>
    </x:xf>
    <x:xf numFmtId="0" fontId="11" fillId="13" borderId="15" xfId="0" applyNumberFormat="1" applyFont="1" applyFill="1" applyBorder="1" applyAlignment="1">
      <x:alignment wrapText="1"/>
    </x:xf>
    <x:xf numFmtId="0" fontId="11" fillId="13" borderId="16" xfId="0" applyNumberFormat="1" applyFont="1" applyFill="1" applyBorder="1" applyAlignment="1">
      <x:alignment wrapText="1"/>
    </x:xf>
    <x:xf numFmtId="0" fontId="11" fillId="13" borderId="17" xfId="0" applyNumberFormat="1" applyFont="1" applyFill="1" applyBorder="1" applyAlignment="1">
      <x:alignment wrapText="1"/>
    </x:xf>
    <x:xf numFmtId="0" fontId="11" fillId="13" xfId="0" applyNumberFormat="1" applyFont="1" applyFill="1" applyBorder="0" applyAlignment="1">
      <x:alignment wrapText="1"/>
    </x:xf>
    <x:xf numFmtId="0" fontId="11" fillId="13" borderId="18" xfId="0" applyNumberFormat="1" applyFont="1" applyFill="1" applyBorder="1" applyAlignment="1">
      <x:alignment wrapText="1"/>
    </x:xf>
    <x:xf numFmtId="0" fontId="11" fillId="13" borderId="19" xfId="0" applyNumberFormat="1" applyFont="1" applyFill="1" applyBorder="1" applyAlignment="1">
      <x:alignment wrapText="1"/>
    </x:xf>
    <x:xf numFmtId="0" fontId="11" fillId="13" borderId="20" xfId="0" applyNumberFormat="1" applyFont="1" applyFill="1" applyBorder="1" applyAlignment="1">
      <x:alignment wrapText="1"/>
    </x:xf>
    <x:xf numFmtId="0" fontId="11" fillId="13" borderId="21" xfId="0" applyNumberFormat="1" applyFont="1" applyFill="1" applyBorder="1" applyAlignment="1">
      <x:alignment wrapText="1"/>
    </x:xf>
    <x:xf numFmtId="0" fontId="11" fillId="13" borderId="14" xfId="0" applyNumberFormat="1" applyFont="1" applyFill="1" applyBorder="1" applyAlignment="1">
      <x:alignment horizontal="center" wrapText="1"/>
    </x:xf>
    <x:xf numFmtId="0" fontId="11" fillId="13" borderId="15" xfId="0" applyNumberFormat="1" applyFont="1" applyFill="1" applyBorder="1" applyAlignment="1">
      <x:alignment horizontal="center" wrapText="1"/>
    </x:xf>
    <x:xf numFmtId="0" fontId="11" fillId="13" borderId="16" xfId="0" applyNumberFormat="1" applyFont="1" applyFill="1" applyBorder="1" applyAlignment="1">
      <x:alignment horizontal="center" wrapText="1"/>
    </x:xf>
    <x:xf numFmtId="0" fontId="11" fillId="13" borderId="17" xfId="0" applyNumberFormat="1" applyFont="1" applyFill="1" applyBorder="1" applyAlignment="1">
      <x:alignment horizontal="center" wrapText="1"/>
    </x:xf>
    <x:xf numFmtId="0" fontId="11" fillId="13" xfId="0" applyNumberFormat="1" applyFont="1" applyFill="1" applyBorder="0" applyAlignment="1">
      <x:alignment horizontal="center" wrapText="1"/>
    </x:xf>
    <x:xf numFmtId="0" fontId="11" fillId="13" borderId="18" xfId="0" applyNumberFormat="1" applyFont="1" applyFill="1" applyBorder="1" applyAlignment="1">
      <x:alignment horizontal="center" wrapText="1"/>
    </x:xf>
    <x:xf numFmtId="0" fontId="11" fillId="13" borderId="19" xfId="0" applyNumberFormat="1" applyFont="1" applyFill="1" applyBorder="1" applyAlignment="1">
      <x:alignment horizontal="center" wrapText="1"/>
    </x:xf>
    <x:xf numFmtId="0" fontId="11" fillId="13" borderId="20" xfId="0" applyNumberFormat="1" applyFont="1" applyFill="1" applyBorder="1" applyAlignment="1">
      <x:alignment horizontal="center" wrapText="1"/>
    </x:xf>
    <x:xf numFmtId="0" fontId="11" fillId="13" borderId="21" xfId="0" applyNumberFormat="1" applyFont="1" applyFill="1" applyBorder="1" applyAlignment="1">
      <x:alignment horizontal="center" wrapText="1"/>
    </x:xf>
    <x:xf numFmtId="0" fontId="11" fillId="13" borderId="14" xfId="0" applyNumberFormat="1" applyFont="1" applyFill="1" applyBorder="1" applyAlignment="1">
      <x:alignment horizontal="center" vertical="center" wrapText="1"/>
    </x:xf>
    <x:xf numFmtId="0" fontId="11" fillId="13" borderId="15" xfId="0" applyNumberFormat="1" applyFont="1" applyFill="1" applyBorder="1" applyAlignment="1">
      <x:alignment horizontal="center" vertical="center" wrapText="1"/>
    </x:xf>
    <x:xf numFmtId="0" fontId="11" fillId="13" borderId="16" xfId="0" applyNumberFormat="1" applyFont="1" applyFill="1" applyBorder="1" applyAlignment="1">
      <x:alignment horizontal="center" vertical="center" wrapText="1"/>
    </x:xf>
    <x:xf numFmtId="0" fontId="11" fillId="13" borderId="17" xfId="0" applyNumberFormat="1" applyFont="1" applyFill="1" applyBorder="1" applyAlignment="1">
      <x:alignment horizontal="center" vertical="center" wrapText="1"/>
    </x:xf>
    <x:xf numFmtId="0" fontId="11" fillId="13" xfId="0" applyNumberFormat="1" applyFont="1" applyFill="1" applyBorder="0" applyAlignment="1">
      <x:alignment horizontal="center" vertical="center" wrapText="1"/>
    </x:xf>
    <x:xf numFmtId="0" fontId="11" fillId="13" borderId="18" xfId="0" applyNumberFormat="1" applyFont="1" applyFill="1" applyBorder="1" applyAlignment="1">
      <x:alignment horizontal="center" vertical="center" wrapText="1"/>
    </x:xf>
    <x:xf numFmtId="0" fontId="11" fillId="13" borderId="19" xfId="0" applyNumberFormat="1" applyFont="1" applyFill="1" applyBorder="1" applyAlignment="1">
      <x:alignment horizontal="center" vertical="center" wrapText="1"/>
    </x:xf>
    <x:xf numFmtId="0" fontId="11" fillId="13" borderId="20" xfId="0" applyNumberFormat="1" applyFont="1" applyFill="1" applyBorder="1" applyAlignment="1">
      <x:alignment horizontal="center" vertical="center" wrapText="1"/>
    </x:xf>
    <x:xf numFmtId="0" fontId="11" fillId="13" borderId="21" xfId="0" applyNumberFormat="1" applyFont="1" applyFill="1" applyBorder="1" applyAlignment="1">
      <x:alignment horizontal="center" vertical="center" wrapText="1"/>
    </x:xf>
    <x:xf numFmtId="0" fontId="9" fillId="14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horizontal="center" vertic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2" xfId="0" applyNumberFormat="1" applyFont="1" applyFill="1" applyBorder="1"/>
    <x:xf numFmtId="0" fontId="1" fillId="15" borderId="4" xfId="0" applyNumberFormat="1" applyFont="1" applyFill="1" applyBorder="1"/>
    <x:xf numFmtId="0" fontId="1" fillId="15" borderId="2" xfId="0" applyNumberFormat="1" applyFont="1" applyFill="1" applyBorder="1" applyAlignment="1">
      <x:alignment wrapText="1"/>
    </x:xf>
    <x:xf numFmtId="0" fontId="1" fillId="15" borderId="4" xfId="0" applyNumberFormat="1" applyFont="1" applyFill="1" applyBorder="1" applyAlignment="1">
      <x:alignment wrapText="1"/>
    </x:xf>
    <x:xf numFmtId="0" fontId="1" fillId="15" borderId="2" xfId="0" applyNumberFormat="1" applyFont="1" applyFill="1" applyBorder="1" applyAlignment="1">
      <x:alignment horizontal="center" wrapText="1"/>
    </x:xf>
    <x:xf numFmtId="0" fontId="1" fillId="15" borderId="4" xfId="0" applyNumberFormat="1" applyFont="1" applyFill="1" applyBorder="1" applyAlignment="1">
      <x:alignment horizontal="center" wrapText="1"/>
    </x:xf>
    <x:xf numFmtId="0" fontId="1" fillId="15" borderId="2" xfId="0" applyNumberFormat="1" applyFont="1" applyFill="1" applyBorder="1" applyAlignment="1">
      <x:alignment horizontal="center" vertical="center" wrapText="1"/>
    </x:xf>
    <x:xf numFmtId="0" fontId="1" fillId="15" borderId="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8" xfId="0" applyNumberFormat="1" applyFont="1" applyFill="1" applyBorder="1" applyAlignment="1">
      <x:alignment horizontal="center" vertical="top" wrapText="1"/>
    </x:xf>
    <x:xf numFmtId="0" fontId="0" fillId="0" borderId="21" xfId="0" applyNumberFormat="1" applyFont="1" applyFill="1" applyBorder="1" applyAlignment="1">
      <x:alignment horizontal="center" vertical="top" wrapText="1"/>
    </x:xf>
    <x:xf numFmtId="0" fontId="16" fillId="15" borderId="2" xfId="0" applyNumberFormat="1" applyFont="1" applyFill="1" applyBorder="1" applyAlignment="1">
      <x:alignment horizontal="center" vertical="center" wrapText="1"/>
    </x:xf>
    <x:xf numFmtId="0" fontId="16" fillId="15" borderId="4" xfId="0" applyNumberFormat="1" applyFont="1" applyFill="1" applyBorder="1" applyAlignment="1">
      <x:alignment horizontal="center" vertical="center" wrapText="1"/>
    </x:xf>
    <x:xf numFmtId="0" fontId="10" fillId="0" borderId="14" xfId="0" applyNumberFormat="1" applyFont="1" applyFill="1" applyBorder="1" applyAlignment="1">
      <x:alignment horizontal="center" vertical="top" wrapText="1"/>
    </x:xf>
    <x:xf numFmtId="0" fontId="10" fillId="0" borderId="16" xfId="0" applyNumberFormat="1" applyFont="1" applyFill="1" applyBorder="1" applyAlignment="1">
      <x:alignment horizontal="center" vertical="top" wrapText="1"/>
    </x:xf>
    <x:xf numFmtId="0" fontId="10" fillId="0" borderId="17" xfId="0" applyNumberFormat="1" applyFont="1" applyFill="1" applyBorder="1" applyAlignment="1">
      <x:alignment horizontal="center" vertical="top" wrapText="1"/>
    </x:xf>
    <x:xf numFmtId="0" fontId="10" fillId="0" borderId="18" xfId="0" applyNumberFormat="1" applyFont="1" applyFill="1" applyBorder="1" applyAlignment="1">
      <x:alignment horizontal="center" vertical="top" wrapText="1"/>
    </x:xf>
    <x:xf numFmtId="0" fontId="10" fillId="0" borderId="19" xfId="0" applyNumberFormat="1" applyFont="1" applyFill="1" applyBorder="1" applyAlignment="1">
      <x:alignment horizontal="center" vertical="top" wrapText="1"/>
    </x:xf>
    <x:xf numFmtId="0" fontId="10" fillId="0" borderId="2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6"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color rgb="FF37474F"/>
      </x:font>
      <x:fill>
        <x:patternFill>
          <x:bgColor rgb="FFECEFF1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8E1B1B"/>
      </x:font>
      <x:fill>
        <x:patternFill>
          <x:bgColor rgb="FFFFEBEE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color rgb="FF8E1B1B"/>
      </x:font>
      <x:fill>
        <x:patternFill>
          <x:bgColor rgb="FFFFEBEE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color rgb="FF37474F"/>
      </x:font>
      <x:fill>
        <x:patternFill patternType="solid">
          <x:bgColor rgb="FFECEFF1"/>
        </x:patternFill>
      </x:fill>
    </x:dxf>
    <x:dxf>
      <x:font>
        <x:b/>
        <x:color rgb="FF212121"/>
      </x:font>
      <x:fill>
        <x:patternFill patternType="solid">
          <x:bgColor rgb="FFF9A825"/>
        </x:patternFill>
      </x:fill>
    </x:dxf>
    <x:dxf>
      <x:font>
        <x:b/>
        <x:color rgb="FF0D47A1"/>
      </x:font>
      <x:fill>
        <x:patternFill patternType="solid">
          <x:bgColor rgb="FFE3F2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0ef2eb664402d" /><Relationship Type="http://schemas.openxmlformats.org/officeDocument/2006/relationships/theme" Target="/xl/theme/theme1.xml" Id="Rcffb2d9eea494f19" /><Relationship Type="http://schemas.openxmlformats.org/officeDocument/2006/relationships/sharedStrings" Target="/xl/sharedStrings.xml" Id="R9c6525ea16ec4aa5" /><Relationship Type="http://schemas.openxmlformats.org/officeDocument/2006/relationships/worksheet" Target="/xl/worksheets/sheet1.xml" Id="R549910f1c9684347" /><Relationship Type="http://schemas.openxmlformats.org/officeDocument/2006/relationships/worksheet" Target="/xl/worksheets/sheet2.xml" Id="R366d813b20d643cd" /><Relationship Type="http://schemas.openxmlformats.org/officeDocument/2006/relationships/worksheet" Target="/xl/worksheets/sheet3.xml" Id="R38631d960c604ac9" /><Relationship Type="http://schemas.openxmlformats.org/officeDocument/2006/relationships/worksheet" Target="/xl/worksheets/sheet4.xml" Id="R302abf5314874088" /><Relationship Type="http://schemas.openxmlformats.org/officeDocument/2006/relationships/worksheet" Target="/xl/worksheets/sheet5.xml" Id="Rf2281e21c90b47dd" /><Relationship Type="http://schemas.openxmlformats.org/officeDocument/2006/relationships/worksheet" Target="/xl/worksheets/sheet6.xml" Id="R4edc44f4140a41e9" /><Relationship Type="http://schemas.openxmlformats.org/officeDocument/2006/relationships/worksheet" Target="/xl/worksheets/sheet7.xml" Id="R892ee9001e4f44e6" /><Relationship Type="http://schemas.openxmlformats.org/officeDocument/2006/relationships/worksheet" Target="/xl/worksheets/sheet8.xml" Id="R89a05a67b9cc46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d03d943c96466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Completion Targets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Vanilla Completions</c:v>
          </c:tx>
          <c:cat>
            <c:strRef>
              <c:f>'Start Here'!$H$16:$H$21</c:f>
              <c:strCache>
                <c:ptCount val="0"/>
              </c:strCache>
            </c:strRef>
          </c:cat>
          <c:val>
            <c:numRef>
              <c:f>'Start Here'!$I$16:$I$21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Randomizer Finishes</c:v>
          </c:tx>
          <c:cat>
            <c:strRef>
              <c:f>'Start Here'!$H$16:$H$21</c:f>
              <c:strCache>
                <c:ptCount val="0"/>
              </c:strCache>
            </c:strRef>
          </c:cat>
          <c:val>
            <c:numRef>
              <c:f>'Start Here'!$J$16:$J$21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22</xdr:row>
      <xdr:rowOff>0</xdr:rowOff>
    </xdr:from>
    <xdr:to>
      <xdr:col>10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d03d943c9646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unLogTable" displayName="RunLogTable" ref="A4:Q204" headerRowCount="1">
  <x:tableColumns count="17">
    <x:tableColumn id="1" name="Date"/>
    <x:tableColumn id="2" name="Mode"/>
    <x:tableColumn id="3" name="Seed / Rules"/>
    <x:tableColumn id="4" name="Attempt Type"/>
    <x:tableColumn id="5" name="Result"/>
    <x:tableColumn id="6" name="Time"/>
    <x:tableColumn id="7" name="Deaths"/>
    <x:tableColumn id="8" name="Continues"/>
    <x:tableColumn id="9" name="Restarts"/>
    <x:tableColumn id="10" name="Worlds / Levels Completed"/>
    <x:tableColumn id="11" name="Biggest Time Loss"/>
    <x:tableColumn id="12" name="Best Decision"/>
    <x:tableColumn id="13" name="Skill Focus"/>
    <x:tableColumn id="14" name="Practice Minutes"/>
    <x:tableColumn id="15" name="Confidence (1–5)"/>
    <x:tableColumn id="16" name="One Fix Next Time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killTrackerTable" displayName="SkillTrackerTable" ref="A4:J24" headerRowCount="1">
  <x:tableColumns count="10">
    <x:tableColumn id="1" name="Category"/>
    <x:tableColumn id="2" name="Skill"/>
    <x:tableColumn id="3" name="Why It Matters"/>
    <x:tableColumn id="4" name="Practice Drill"/>
    <x:tableColumn id="5" name="Current (1–5)"/>
    <x:tableColumn id="6" name="Target (1–5)"/>
    <x:tableColumn id="7" name="Evidence / Best Result"/>
    <x:tableColumn id="8" name="Last Practiced"/>
    <x:tableColumn id="9" name="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andomizerNotesTable" displayName="RandomizerNotesTable" ref="A12:L112" headerRowCount="1">
  <x:tableColumns count="12">
    <x:tableColumn id="1" name="Date"/>
    <x:tableColumn id="2" name="Seed ID"/>
    <x:tableColumn id="3" name="Settings / Rules"/>
    <x:tableColumn id="4" name="Session Goal"/>
    <x:tableColumn id="5" name="Finished?"/>
    <x:tableColumn id="6" name="Final Time"/>
    <x:tableColumn id="7" name="Deaths"/>
    <x:tableColumn id="8" name="Hardest Level / Type"/>
    <x:tableColumn id="9" name="Best Route Decision"/>
    <x:tableColumn id="10" name="Largest Waste"/>
    <x:tableColumn id="11" name="New Discovery"/>
    <x:tableColumn id="12" name="Next Experi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dbb12843906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5b78e2a0a8eb4d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84a744fde94642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d0f4ceddcee54c4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" hidden="0" customWidth="1"/>
    <x:col min="4" max="4" width="22" hidden="0" customWidth="1"/>
    <x:col min="5" max="5" width="14" hidden="0" customWidth="1"/>
    <x:col min="6" max="6" width="4" hidden="0" customWidth="1"/>
    <x:col min="7" max="7" width="31" hidden="0" customWidth="1"/>
    <x:col min="8" max="8" width="15" hidden="0" customWidth="1"/>
    <x:col min="9" max="9" width="18" hidden="0" customWidth="1"/>
    <x:col min="10" max="10" width="18" hidden="0" customWidth="1"/>
  </x:cols>
  <x:sheetData>
    <x:row r="1" ht="34" customHeight="1">
      <x:c r="A1" s="305" t="str">
        <x:v>SUPER MARIO BROS. 3 IMPROVEMENT WORKBOOK</x:v>
      </x:c>
      <x:c r="B1" s="305"/>
      <x:c r="C1" s="305"/>
      <x:c r="D1" s="305"/>
      <x:c r="E1" s="305"/>
      <x:c r="F1" s="305"/>
      <x:c r="G1" s="305"/>
      <x:c r="H1" s="305"/>
      <x:c r="I1" s="305"/>
      <x:c r="J1" s="305"/>
      <x:c r="K1" s="306"/>
      <x:c r="L1" s="306"/>
      <x:c r="M1" s="306"/>
      <x:c r="N1" s="306"/>
      <x:c r="O1" s="306"/>
      <x:c r="P1" s="306"/>
      <x:c r="Q1" s="306"/>
    </x:row>
    <x:row r="2" ht="34" customHeight="1">
      <x:c r="A2" s="305"/>
      <x:c r="B2" s="305"/>
      <x:c r="C2" s="305"/>
      <x:c r="D2" s="305"/>
      <x:c r="E2" s="305"/>
      <x:c r="F2" s="305"/>
      <x:c r="G2" s="305"/>
      <x:c r="H2" s="305"/>
      <x:c r="I2" s="305"/>
      <x:c r="J2" s="305"/>
      <x:c r="K2" s="306"/>
      <x:c r="L2" s="306"/>
      <x:c r="M2" s="306"/>
      <x:c r="N2" s="306"/>
      <x:c r="O2" s="306"/>
      <x:c r="P2" s="306"/>
      <x:c r="Q2" s="306"/>
    </x:row>
    <x:row r="3">
      <x:c r="A3" s="307" t="str">
        <x:v>A structured practice plan for vanilla and randomizer play • Created July 26, 2026</x:v>
      </x:c>
      <x:c r="B3" s="307"/>
      <x:c r="C3" s="307"/>
      <x:c r="D3" s="307"/>
      <x:c r="E3" s="307"/>
      <x:c r="F3" s="307"/>
      <x:c r="G3" s="307"/>
      <x:c r="H3" s="307"/>
      <x:c r="I3" s="307"/>
      <x:c r="J3" s="307"/>
      <x:c r="K3" s="306"/>
      <x:c r="L3" s="306"/>
      <x:c r="M3" s="306"/>
      <x:c r="N3" s="306"/>
      <x:c r="O3" s="306"/>
      <x:c r="P3" s="306"/>
      <x:c r="Q3" s="306"/>
    </x:row>
    <x:row r="4">
      <x:c r="A4" s="308"/>
      <x:c r="B4" s="308"/>
      <x:c r="C4" s="308"/>
      <x:c r="D4" s="308"/>
      <x:c r="E4" s="308"/>
      <x:c r="F4" s="308"/>
      <x:c r="G4" s="308"/>
      <x:c r="H4" s="308"/>
      <x:c r="I4" s="308"/>
      <x:c r="J4" s="308"/>
      <x:c r="K4" s="306"/>
      <x:c r="L4" s="306"/>
      <x:c r="M4" s="306"/>
      <x:c r="N4" s="306"/>
      <x:c r="O4" s="306"/>
      <x:c r="P4" s="306"/>
      <x:c r="Q4" s="306"/>
    </x:row>
    <x:row r="5">
      <x:c r="A5" s="309" t="str">
        <x:v>HOW TO USE THIS WORKBOOK</x:v>
      </x:c>
      <x:c r="B5" s="309"/>
      <x:c r="C5" s="309"/>
      <x:c r="D5" s="309"/>
      <x:c r="E5" s="309"/>
      <x:c r="F5" s="308"/>
      <x:c r="G5" s="309" t="str">
        <x:v>YOUR SCHEDULE &amp; AUTO BASELINE</x:v>
      </x:c>
      <x:c r="H5" s="309"/>
      <x:c r="I5" s="309"/>
      <x:c r="J5" s="309"/>
      <x:c r="K5" s="306"/>
      <x:c r="L5" s="306"/>
      <x:c r="M5" s="306"/>
      <x:c r="N5" s="306"/>
      <x:c r="O5" s="306"/>
      <x:c r="P5" s="306"/>
      <x:c r="Q5" s="306"/>
    </x:row>
    <x:row r="6">
      <x:c r="A6" s="310" t="str">
        <x:v>1</x:v>
      </x:c>
      <x:c r="B6" s="311" t="str">
        <x:v>Enter your schedule in the yellow cells. Run statistics fill automatically in the blue cells.</x:v>
      </x:c>
      <x:c r="C6" s="312" t="str"/>
      <x:c r="D6" s="312" t="str"/>
      <x:c r="E6" s="313" t="str"/>
      <x:c r="F6" s="308"/>
      <x:c r="G6" s="314" t="str">
        <x:v>Practice minutes per session</x:v>
      </x:c>
      <x:c r="H6" s="430" t="n">
        <x:v>45</x:v>
      </x:c>
      <x:c r="I6" s="312" t="str">
        <x:v>Editable</x:v>
      </x:c>
      <x:c r="J6" s="313" t="str">
        <x:v>Aim for focused practice</x:v>
      </x:c>
      <x:c r="K6" s="306"/>
      <x:c r="L6" s="306"/>
      <x:c r="M6" s="306"/>
      <x:c r="N6" s="306"/>
      <x:c r="O6" s="306"/>
      <x:c r="P6" s="306"/>
      <x:c r="Q6" s="306"/>
    </x:row>
    <x:row r="7">
      <x:c r="A7" s="316" t="str">
        <x:v>2</x:v>
      </x:c>
      <x:c r="B7" s="317" t="str">
        <x:v>Work through the 30-Day Plan in order. A short focused session counts.</x:v>
      </x:c>
      <x:c r="C7" s="318" t="str"/>
      <x:c r="D7" s="318" t="str"/>
      <x:c r="E7" s="319" t="str"/>
      <x:c r="F7" s="308"/>
      <x:c r="G7" s="320" t="str">
        <x:v>Practice sessions per week</x:v>
      </x:c>
      <x:c r="H7" s="431" t="n">
        <x:v>5</x:v>
      </x:c>
      <x:c r="I7" s="318" t="str">
        <x:v>Editable</x:v>
      </x:c>
      <x:c r="J7" s="319" t="str">
        <x:v>Consistency beats marathon sessions</x:v>
      </x:c>
      <x:c r="K7" s="306"/>
      <x:c r="L7" s="306"/>
      <x:c r="M7" s="306"/>
      <x:c r="N7" s="306"/>
      <x:c r="O7" s="306"/>
      <x:c r="P7" s="306"/>
      <x:c r="Q7" s="306"/>
    </x:row>
    <x:row r="8">
      <x:c r="A8" s="316" t="str">
        <x:v>3</x:v>
      </x:c>
      <x:c r="B8" s="317" t="str">
        <x:v>Use the 12-Week Plan for broader goals and the 6-Month Roadmap for long-term progress.</x:v>
      </x:c>
      <x:c r="C8" s="318" t="str"/>
      <x:c r="D8" s="318" t="str"/>
      <x:c r="E8" s="319" t="str"/>
      <x:c r="F8" s="308"/>
      <x:c r="G8" s="320" t="str">
        <x:v>Current vanilla best time</x:v>
      </x:c>
      <x:c r="H8" s="454" t="str">
        <x:f>IF(COUNTIFS('Run Log'!$B$5:$B$204,"Vanilla",'Run Log'!$R$5:$R$204,"Yes")=0,"",MINIFS('Run Log'!$F$5:$F$204,'Run Log'!$B$5:$B$204,"Vanilla",'Run Log'!$R$5:$R$204,"Yes"))</x:f>
      </x:c>
      <x:c r="I8" s="452" t="str">
        <x:v>Auto</x:v>
      </x:c>
      <x:c r="J8" s="319" t="str">
        <x:v>Fastest qualifying completed vanilla run</x:v>
      </x:c>
      <x:c r="K8" s="306"/>
      <x:c r="L8" s="306"/>
      <x:c r="M8" s="306"/>
      <x:c r="N8" s="306"/>
      <x:c r="O8" s="306"/>
      <x:c r="P8" s="306"/>
      <x:c r="Q8" s="306"/>
    </x:row>
    <x:row r="9">
      <x:c r="A9" s="316" t="str">
        <x:v>4</x:v>
      </x:c>
      <x:c r="B9" s="317" t="str">
        <x:v>Log every full run and meaningful practice session in Run Log.</x:v>
      </x:c>
      <x:c r="C9" s="318" t="str"/>
      <x:c r="D9" s="318" t="str"/>
      <x:c r="E9" s="319" t="str"/>
      <x:c r="F9" s="308"/>
      <x:c r="G9" s="320" t="str">
        <x:v>Average vanilla deaths</x:v>
      </x:c>
      <x:c r="H9" s="455" t="str">
        <x:f>IFERROR(SUMIFS('Run Log'!$G$5:$G$204,'Run Log'!$B$5:$B$204,"Vanilla",'Run Log'!$R$5:$R$204,"Yes")/COUNTIFS('Run Log'!$B$5:$B$204,"Vanilla",'Run Log'!$R$5:$R$204,"Yes",'Run Log'!$G$5:$G$204,"&lt;&gt;"),"")</x:f>
      </x:c>
      <x:c r="I9" s="452" t="str">
        <x:v>Auto</x:v>
      </x:c>
      <x:c r="J9" s="319" t="str">
        <x:v>Average deaths in qualifying vanilla completions</x:v>
      </x:c>
      <x:c r="K9" s="306"/>
      <x:c r="L9" s="306"/>
      <x:c r="M9" s="306"/>
      <x:c r="N9" s="306"/>
      <x:c r="O9" s="306"/>
      <x:c r="P9" s="306"/>
      <x:c r="Q9" s="306"/>
    </x:row>
    <x:row r="10">
      <x:c r="A10" s="316" t="str">
        <x:v>5</x:v>
      </x:c>
      <x:c r="B10" s="317" t="str">
        <x:v>After each run, choose one fix for next time instead of trying to fix everything.</x:v>
      </x:c>
      <x:c r="C10" s="318" t="str"/>
      <x:c r="D10" s="318" t="str"/>
      <x:c r="E10" s="319" t="str"/>
      <x:c r="F10" s="308"/>
      <x:c r="G10" s="320" t="str">
        <x:v>Randomizer completion rate</x:v>
      </x:c>
      <x:c r="H10" s="448" t="str">
        <x:f>IFERROR(COUNTIFS('Run Log'!$B$5:$B$204,"Randomizer",'Run Log'!$R$5:$R$204,"Yes")/(COUNTIFS('Run Log'!$B$5:$B$204,"Randomizer",'Run Log'!$D$5:$D$204,"Full Run",'Run Log'!$E$5:$E$204,"&lt;&gt;")+COUNTIFS('Run Log'!$B$5:$B$204,"Randomizer",'Run Log'!$D$5:$D$204,"No-Reset Run",'Run Log'!$E$5:$E$204,"&lt;&gt;")+COUNTIFS('Run Log'!$B$5:$B$204,"Randomizer",'Run Log'!$D$5:$D$204,"PB Attempt",'Run Log'!$E$5:$E$204,"&lt;&gt;")),"")</x:f>
      </x:c>
      <x:c r="I10" s="452" t="str">
        <x:v>Auto</x:v>
      </x:c>
      <x:c r="J10" s="319" t="str">
        <x:v>Completed serious seeds ÷ serious seed attempts</x:v>
      </x:c>
      <x:c r="K10" s="306"/>
      <x:c r="L10" s="306"/>
      <x:c r="M10" s="306"/>
      <x:c r="N10" s="306"/>
      <x:c r="O10" s="306"/>
      <x:c r="P10" s="306"/>
      <x:c r="Q10" s="306"/>
    </x:row>
    <x:row r="11">
      <x:c r="A11" s="323" t="str">
        <x:v>6</x:v>
      </x:c>
      <x:c r="B11" s="324" t="str">
        <x:v>Review Skill Tracker weekly and update ratings only when you have evidence.</x:v>
      </x:c>
      <x:c r="C11" s="325" t="str"/>
      <x:c r="D11" s="325" t="str"/>
      <x:c r="E11" s="326" t="str"/>
      <x:c r="F11" s="308"/>
      <x:c r="G11" s="327" t="str">
        <x:v>Average randomizer finish time</x:v>
      </x:c>
      <x:c r="H11" s="456" t="str">
        <x:f>IFERROR(SUMIFS('Run Log'!$F$5:$F$204,'Run Log'!$B$5:$B$204,"Randomizer",'Run Log'!$R$5:$R$204,"Yes")/COUNTIFS('Run Log'!$B$5:$B$204,"Randomizer",'Run Log'!$R$5:$R$204,"Yes"),"")</x:f>
      </x:c>
      <x:c r="I11" s="453" t="str">
        <x:v>Auto</x:v>
      </x:c>
      <x:c r="J11" s="326" t="str">
        <x:v>Average qualifying completed randomizer run</x:v>
      </x:c>
      <x:c r="K11" s="306"/>
      <x:c r="L11" s="306"/>
      <x:c r="M11" s="306"/>
      <x:c r="N11" s="306"/>
      <x:c r="O11" s="306"/>
      <x:c r="P11" s="306"/>
      <x:c r="Q11" s="306"/>
    </x:row>
    <x:row r="12">
      <x:c r="A12" s="308"/>
      <x:c r="B12" s="308"/>
      <x:c r="C12" s="308"/>
      <x:c r="D12" s="308"/>
      <x:c r="E12" s="308"/>
      <x:c r="F12" s="308"/>
      <x:c r="G12" s="308"/>
      <x:c r="H12" s="308"/>
      <x:c r="I12" s="308"/>
      <x:c r="J12" s="308"/>
      <x:c r="K12" s="306"/>
      <x:c r="L12" s="306"/>
      <x:c r="M12" s="306"/>
      <x:c r="N12" s="306"/>
      <x:c r="O12" s="306"/>
      <x:c r="P12" s="306"/>
      <x:c r="Q12" s="306"/>
    </x:row>
    <x:row r="13">
      <x:c r="A13" s="309" t="str">
        <x:v>PROGRESS DASHBOARD</x:v>
      </x:c>
      <x:c r="B13" s="309"/>
      <x:c r="C13" s="309"/>
      <x:c r="D13" s="309"/>
      <x:c r="E13" s="309"/>
      <x:c r="F13" s="309"/>
      <x:c r="G13" s="309"/>
      <x:c r="H13" s="309"/>
      <x:c r="I13" s="309"/>
      <x:c r="J13" s="309"/>
      <x:c r="K13" s="306"/>
      <x:c r="L13" s="306"/>
      <x:c r="M13" s="306"/>
      <x:c r="N13" s="306"/>
      <x:c r="O13" s="306"/>
      <x:c r="P13" s="306"/>
      <x:c r="Q13" s="306"/>
    </x:row>
    <x:row r="14">
      <x:c r="A14" s="308"/>
      <x:c r="B14" s="308"/>
      <x:c r="C14" s="308"/>
      <x:c r="D14" s="308"/>
      <x:c r="E14" s="308"/>
      <x:c r="F14" s="308"/>
      <x:c r="G14" s="308"/>
      <x:c r="H14" s="308"/>
      <x:c r="I14" s="308"/>
      <x:c r="J14" s="308"/>
      <x:c r="K14" s="306"/>
      <x:c r="L14" s="306"/>
      <x:c r="M14" s="306"/>
      <x:c r="N14" s="306"/>
      <x:c r="O14" s="306"/>
      <x:c r="P14" s="306"/>
      <x:c r="Q14" s="306"/>
    </x:row>
    <x:row r="15">
      <x:c r="A15" s="329" t="str">
        <x:v>30-Day Plan Progress</x:v>
      </x:c>
      <x:c r="B15" s="330" t="n">
        <x:f>SUM('30-Day Plan'!J5:J34)/30</x:f>
        <x:v>0</x:v>
      </x:c>
      <x:c r="C15" s="308"/>
      <x:c r="D15" s="329" t="str">
        <x:v>Qualifying Completions</x:v>
      </x:c>
      <x:c r="E15" s="331" t="n">
        <x:f>COUNTIF('Run Log'!$R$5:$R$204,"Yes")</x:f>
        <x:v>0</x:v>
      </x:c>
      <x:c r="F15" s="308"/>
      <x:c r="G15" s="308"/>
      <x:c r="H15" s="332" t="str">
        <x:v>Month</x:v>
      </x:c>
      <x:c r="I15" s="333" t="str">
        <x:v>Vanilla Completions</x:v>
      </x:c>
      <x:c r="J15" s="334" t="str">
        <x:v>Randomizer Finishes</x:v>
      </x:c>
      <x:c r="K15" s="306"/>
      <x:c r="L15" s="306"/>
      <x:c r="M15" s="306"/>
      <x:c r="N15" s="306"/>
      <x:c r="O15" s="306"/>
      <x:c r="P15" s="306"/>
      <x:c r="Q15" s="306"/>
    </x:row>
    <x:row r="16">
      <x:c r="A16" s="329" t="str">
        <x:v>12-Week Plan Progress</x:v>
      </x:c>
      <x:c r="B16" s="335" t="n">
        <x:f>SUM('12-Week Plan'!K5:K16)/12</x:f>
        <x:v>0</x:v>
      </x:c>
      <x:c r="C16" s="308"/>
      <x:c r="D16" s="329" t="str">
        <x:v>Serious Run Completion Rate</x:v>
      </x:c>
      <x:c r="E16" s="335" t="n">
        <x:f>IFERROR(E15/(COUNTIFS('Run Log'!$D$5:$D$204,"Full Run",'Run Log'!$E$5:$E$204,"&lt;&gt;")+COUNTIFS('Run Log'!$D$5:$D$204,"No-Reset Run",'Run Log'!$E$5:$E$204,"&lt;&gt;")+COUNTIFS('Run Log'!$D$5:$D$204,"PB Attempt",'Run Log'!$E$5:$E$204,"&lt;&gt;")),0)</x:f>
        <x:v>0</x:v>
      </x:c>
      <x:c r="F16" s="308"/>
      <x:c r="G16" s="308"/>
      <x:c r="H16" s="311" t="str">
        <x:v>Month 1</x:v>
      </x:c>
      <x:c r="I16" s="312" t="n">
        <x:v>4</x:v>
      </x:c>
      <x:c r="J16" s="313" t="n">
        <x:v>2</x:v>
      </x:c>
      <x:c r="K16" s="306"/>
      <x:c r="L16" s="306"/>
      <x:c r="M16" s="306"/>
      <x:c r="N16" s="306"/>
      <x:c r="O16" s="306"/>
      <x:c r="P16" s="306"/>
      <x:c r="Q16" s="306"/>
    </x:row>
    <x:row r="17">
      <x:c r="A17" s="329" t="str">
        <x:v>6-Month Roadmap Progress</x:v>
      </x:c>
      <x:c r="B17" s="335" t="n">
        <x:f>SUM('6-Month Roadmap'!L5:L10)/6</x:f>
        <x:v>0</x:v>
      </x:c>
      <x:c r="C17" s="308"/>
      <x:c r="D17" s="329" t="str">
        <x:v>Practice Minutes Logged</x:v>
      </x:c>
      <x:c r="E17" s="336" t="n">
        <x:f>SUM('Run Log'!N5:N204)</x:f>
        <x:v>0</x:v>
      </x:c>
      <x:c r="F17" s="308"/>
      <x:c r="G17" s="308"/>
      <x:c r="H17" s="317" t="str">
        <x:v>Month 2</x:v>
      </x:c>
      <x:c r="I17" s="318" t="n">
        <x:v>6</x:v>
      </x:c>
      <x:c r="J17" s="319" t="n">
        <x:v>4</x:v>
      </x:c>
      <x:c r="K17" s="306"/>
      <x:c r="L17" s="306"/>
      <x:c r="M17" s="306"/>
      <x:c r="N17" s="306"/>
      <x:c r="O17" s="306"/>
      <x:c r="P17" s="306"/>
      <x:c r="Q17" s="306"/>
    </x:row>
    <x:row r="18">
      <x:c r="A18" s="329" t="str">
        <x:v>Runs / Sessions Logged</x:v>
      </x:c>
      <x:c r="B18" s="337" t="n">
        <x:f>COUNTA('Run Log'!A5:A204)</x:f>
        <x:v>0</x:v>
      </x:c>
      <x:c r="C18" s="308"/>
      <x:c r="D18" s="329" t="str">
        <x:v>Average Deaths (Completed)</x:v>
      </x:c>
      <x:c r="E18" s="457" t="n">
        <x:f>IFERROR(SUMIFS('Run Log'!$G$5:$G$204,'Run Log'!$R$5:$R$204,"Yes")/COUNTIFS('Run Log'!$R$5:$R$204,"Yes",'Run Log'!$G$5:$G$204,"&lt;&gt;"),0)</x:f>
        <x:v>0</x:v>
      </x:c>
      <x:c r="F18" s="308"/>
      <x:c r="G18" s="308"/>
      <x:c r="H18" s="317" t="str">
        <x:v>Month 3</x:v>
      </x:c>
      <x:c r="I18" s="318" t="n">
        <x:v>8</x:v>
      </x:c>
      <x:c r="J18" s="319" t="n">
        <x:v>6</x:v>
      </x:c>
      <x:c r="K18" s="306"/>
      <x:c r="L18" s="306"/>
      <x:c r="M18" s="306"/>
      <x:c r="N18" s="306"/>
      <x:c r="O18" s="306"/>
      <x:c r="P18" s="306"/>
      <x:c r="Q18" s="306"/>
    </x:row>
    <x:row r="19">
      <x:c r="A19" s="308"/>
      <x:c r="B19" s="308"/>
      <x:c r="C19" s="308"/>
      <x:c r="D19" s="308"/>
      <x:c r="E19" s="308"/>
      <x:c r="F19" s="308"/>
      <x:c r="G19" s="308"/>
      <x:c r="H19" s="317" t="str">
        <x:v>Month 4</x:v>
      </x:c>
      <x:c r="I19" s="318" t="n">
        <x:v>8</x:v>
      </x:c>
      <x:c r="J19" s="319" t="n">
        <x:v>8</x:v>
      </x:c>
      <x:c r="K19" s="306"/>
      <x:c r="L19" s="306"/>
      <x:c r="M19" s="306"/>
      <x:c r="N19" s="306"/>
      <x:c r="O19" s="306"/>
      <x:c r="P19" s="306"/>
      <x:c r="Q19" s="306"/>
    </x:row>
    <x:row r="20">
      <x:c r="A20" s="309" t="str">
        <x:v>THE ONE-RULE REVIEW</x:v>
      </x:c>
      <x:c r="B20" s="309"/>
      <x:c r="C20" s="309"/>
      <x:c r="D20" s="309"/>
      <x:c r="E20" s="309"/>
      <x:c r="F20" s="309"/>
      <x:c r="G20" s="308"/>
      <x:c r="H20" s="317" t="str">
        <x:v>Month 5</x:v>
      </x:c>
      <x:c r="I20" s="318" t="n">
        <x:v>10</x:v>
      </x:c>
      <x:c r="J20" s="319" t="n">
        <x:v>8</x:v>
      </x:c>
      <x:c r="K20" s="306"/>
      <x:c r="L20" s="306"/>
      <x:c r="M20" s="306"/>
      <x:c r="N20" s="306"/>
      <x:c r="O20" s="306"/>
      <x:c r="P20" s="306"/>
      <x:c r="Q20" s="306"/>
    </x:row>
    <x:row r="21">
      <x:c r="A21" s="338" t="str">
        <x:v>After every run, write down ONE mistake that cost the most and ONE decision that helped the most. Your next practice session should begin with a drill for that single biggest mistake.</x:v>
      </x:c>
      <x:c r="B21" s="339"/>
      <x:c r="C21" s="339"/>
      <x:c r="D21" s="339"/>
      <x:c r="E21" s="339"/>
      <x:c r="F21" s="340"/>
      <x:c r="G21" s="308"/>
      <x:c r="H21" s="324" t="str">
        <x:v>Month 6</x:v>
      </x:c>
      <x:c r="I21" s="325" t="n">
        <x:v>10</x:v>
      </x:c>
      <x:c r="J21" s="326" t="n">
        <x:v>10</x:v>
      </x:c>
      <x:c r="K21" s="306"/>
      <x:c r="L21" s="306"/>
      <x:c r="M21" s="306"/>
      <x:c r="N21" s="306"/>
      <x:c r="O21" s="306"/>
      <x:c r="P21" s="306"/>
      <x:c r="Q21" s="306"/>
    </x:row>
    <x:row r="22">
      <x:c r="A22" s="341"/>
      <x:c r="B22" s="342"/>
      <x:c r="C22" s="342"/>
      <x:c r="D22" s="342"/>
      <x:c r="E22" s="342"/>
      <x:c r="F22" s="343"/>
      <x:c r="G22" s="308"/>
      <x:c r="H22" s="308"/>
      <x:c r="I22" s="308"/>
      <x:c r="J22" s="308"/>
      <x:c r="K22" s="306"/>
      <x:c r="L22" s="306"/>
      <x:c r="M22" s="306"/>
      <x:c r="N22" s="306"/>
      <x:c r="O22" s="306"/>
      <x:c r="P22" s="306"/>
      <x:c r="Q22" s="306"/>
    </x:row>
    <x:row r="23">
      <x:c r="A23" s="341"/>
      <x:c r="B23" s="342"/>
      <x:c r="C23" s="342"/>
      <x:c r="D23" s="342"/>
      <x:c r="E23" s="342"/>
      <x:c r="F23" s="343"/>
      <x:c r="G23" s="308"/>
      <x:c r="H23" s="308"/>
      <x:c r="I23" s="308"/>
      <x:c r="J23" s="308"/>
      <x:c r="K23" s="306"/>
      <x:c r="L23" s="306"/>
      <x:c r="M23" s="306"/>
      <x:c r="N23" s="306"/>
      <x:c r="O23" s="306"/>
      <x:c r="P23" s="306"/>
      <x:c r="Q23" s="306"/>
    </x:row>
    <x:row r="24">
      <x:c r="A24" s="344"/>
      <x:c r="B24" s="345"/>
      <x:c r="C24" s="345"/>
      <x:c r="D24" s="345"/>
      <x:c r="E24" s="345"/>
      <x:c r="F24" s="346"/>
      <x:c r="G24" s="308"/>
      <x:c r="H24" s="308"/>
      <x:c r="I24" s="308"/>
      <x:c r="J24" s="308"/>
      <x:c r="K24" s="306"/>
      <x:c r="L24" s="306"/>
      <x:c r="M24" s="306"/>
      <x:c r="N24" s="306"/>
      <x:c r="O24" s="306"/>
      <x:c r="P24" s="306"/>
      <x:c r="Q24" s="306"/>
    </x:row>
    <x:row r="25">
      <x:c r="A25" s="308"/>
      <x:c r="B25" s="308"/>
      <x:c r="C25" s="308"/>
      <x:c r="D25" s="308"/>
      <x:c r="E25" s="308"/>
      <x:c r="F25" s="308"/>
      <x:c r="G25" s="308"/>
      <x:c r="H25" s="308"/>
      <x:c r="I25" s="308"/>
      <x:c r="J25" s="308"/>
      <x:c r="K25" s="306"/>
      <x:c r="L25" s="306"/>
      <x:c r="M25" s="306"/>
      <x:c r="N25" s="306"/>
      <x:c r="O25" s="306"/>
      <x:c r="P25" s="306"/>
      <x:c r="Q25" s="306"/>
    </x:row>
    <x:row r="26" ht="28" customHeight="1">
      <x:c r="A26" s="461" t="str">
        <x:v>AUTOMATIC RUN STATISTICS</x:v>
      </x:c>
      <x:c r="B26" s="461"/>
      <x:c r="C26" s="461"/>
      <x:c r="D26" s="461"/>
      <x:c r="E26" s="461"/>
      <x:c r="F26" s="461"/>
      <x:c r="G26" s="308"/>
      <x:c r="H26" s="308"/>
      <x:c r="I26" s="308"/>
      <x:c r="J26" s="308"/>
      <x:c r="K26" s="306"/>
      <x:c r="L26" s="306"/>
      <x:c r="M26" s="306"/>
      <x:c r="N26" s="306"/>
      <x:c r="O26" s="306"/>
      <x:c r="P26" s="306"/>
      <x:c r="Q26" s="306"/>
    </x:row>
    <x:row r="27" ht="28" customHeight="1">
      <x:c r="A27" s="467" t="str">
        <x:v>Best Vanilla Time</x:v>
      </x:c>
      <x:c r="B27" s="454" t="str">
        <x:f>IF(COUNTIFS('Run Log'!$B$5:$B$204,"Vanilla",'Run Log'!$R$5:$R$204,"Yes")=0,"",MINIFS('Run Log'!$F$5:$F$204,'Run Log'!$B$5:$B$204,"Vanilla",'Run Log'!$R$5:$R$204,"Yes"))</x:f>
      </x:c>
      <x:c r="C27" s="308"/>
      <x:c r="D27" s="467" t="str">
        <x:v>Best Randomizer Time</x:v>
      </x:c>
      <x:c r="E27" s="454" t="str">
        <x:f>IF(COUNTIFS('Run Log'!$B$5:$B$204,"Randomizer",'Run Log'!$R$5:$R$204,"Yes")=0,"",MINIFS('Run Log'!$F$5:$F$204,'Run Log'!$B$5:$B$204,"Randomizer",'Run Log'!$R$5:$R$204,"Yes"))</x:f>
      </x:c>
      <x:c r="F27" s="308"/>
      <x:c r="G27" s="308"/>
      <x:c r="H27" s="308"/>
      <x:c r="I27" s="308"/>
      <x:c r="J27" s="308"/>
      <x:c r="K27" s="306"/>
      <x:c r="L27" s="306"/>
      <x:c r="M27" s="306"/>
      <x:c r="N27" s="306"/>
      <x:c r="O27" s="306"/>
      <x:c r="P27" s="306"/>
      <x:c r="Q27" s="306"/>
    </x:row>
    <x:row r="28" ht="28" customHeight="1">
      <x:c r="A28" s="468" t="str">
        <x:v>Average Vanilla Time</x:v>
      </x:c>
      <x:c r="B28" s="478" t="str">
        <x:f>IFERROR(SUMIFS('Run Log'!$F$5:$F$204,'Run Log'!$B$5:$B$204,"Vanilla",'Run Log'!$R$5:$R$204,"Yes")/COUNTIFS('Run Log'!$B$5:$B$204,"Vanilla",'Run Log'!$R$5:$R$204,"Yes"),"")</x:f>
      </x:c>
      <x:c r="C28" s="308"/>
      <x:c r="D28" s="468" t="str">
        <x:v>Average Randomizer Time</x:v>
      </x:c>
      <x:c r="E28" s="478" t="str">
        <x:f>IFERROR(SUMIFS('Run Log'!$F$5:$F$204,'Run Log'!$B$5:$B$204,"Randomizer",'Run Log'!$R$5:$R$204,"Yes")/COUNTIFS('Run Log'!$B$5:$B$204,"Randomizer",'Run Log'!$R$5:$R$204,"Yes"),"")</x:f>
      </x:c>
      <x:c r="F28" s="308"/>
      <x:c r="G28" s="308"/>
      <x:c r="H28" s="308"/>
      <x:c r="I28" s="308"/>
      <x:c r="J28" s="308"/>
      <x:c r="K28" s="306"/>
      <x:c r="L28" s="306"/>
      <x:c r="M28" s="306"/>
      <x:c r="N28" s="306"/>
      <x:c r="O28" s="306"/>
      <x:c r="P28" s="306"/>
      <x:c r="Q28" s="306"/>
    </x:row>
    <x:row r="29" ht="28" customHeight="1">
      <x:c r="A29" s="468" t="str">
        <x:v>Lowest Vanilla Deaths</x:v>
      </x:c>
      <x:c r="B29" s="479" t="str">
        <x:f>IF(COUNTIFS('Run Log'!$B$5:$B$204,"Vanilla",'Run Log'!$R$5:$R$204,"Yes",'Run Log'!$G$5:$G$204,"&lt;&gt;")=0,"",MINIFS('Run Log'!$G$5:$G$204,'Run Log'!$B$5:$B$204,"Vanilla",'Run Log'!$R$5:$R$204,"Yes",'Run Log'!$G$5:$G$204,"&lt;&gt;"))</x:f>
      </x:c>
      <x:c r="C29" s="308"/>
      <x:c r="D29" s="468" t="str">
        <x:v>Lowest Randomizer Deaths</x:v>
      </x:c>
      <x:c r="E29" s="479" t="str">
        <x:f>IF(COUNTIFS('Run Log'!$B$5:$B$204,"Randomizer",'Run Log'!$R$5:$R$204,"Yes",'Run Log'!$G$5:$G$204,"&lt;&gt;")=0,"",MINIFS('Run Log'!$G$5:$G$204,'Run Log'!$B$5:$B$204,"Randomizer",'Run Log'!$R$5:$R$204,"Yes",'Run Log'!$G$5:$G$204,"&lt;&gt;"))</x:f>
      </x:c>
      <x:c r="F29" s="308"/>
      <x:c r="G29" s="308"/>
      <x:c r="H29" s="308"/>
      <x:c r="I29" s="308"/>
      <x:c r="J29" s="308"/>
      <x:c r="K29" s="306"/>
      <x:c r="L29" s="306"/>
      <x:c r="M29" s="306"/>
      <x:c r="N29" s="306"/>
      <x:c r="O29" s="306"/>
      <x:c r="P29" s="306"/>
      <x:c r="Q29" s="306"/>
    </x:row>
    <x:row r="30" ht="28" customHeight="1">
      <x:c r="A30" s="468" t="str">
        <x:v>Vanilla Completion Rate</x:v>
      </x:c>
      <x:c r="B30" s="448" t="str">
        <x:f>IFERROR(COUNTIFS('Run Log'!$B$5:$B$204,"Vanilla",'Run Log'!$R$5:$R$204,"Yes")/(COUNTIFS('Run Log'!$B$5:$B$204,"Vanilla",'Run Log'!$D$5:$D$204,"Full Run",'Run Log'!$E$5:$E$204,"&lt;&gt;")+COUNTIFS('Run Log'!$B$5:$B$204,"Vanilla",'Run Log'!$D$5:$D$204,"No-Reset Run",'Run Log'!$E$5:$E$204,"&lt;&gt;")+COUNTIFS('Run Log'!$B$5:$B$204,"Vanilla",'Run Log'!$D$5:$D$204,"PB Attempt",'Run Log'!$E$5:$E$204,"&lt;&gt;")),"")</x:f>
      </x:c>
      <x:c r="C30" s="308"/>
      <x:c r="D30" s="468" t="str">
        <x:v>Randomizer Completion Rate</x:v>
      </x:c>
      <x:c r="E30" s="448" t="str">
        <x:f>IFERROR(COUNTIFS('Run Log'!$B$5:$B$204,"Randomizer",'Run Log'!$R$5:$R$204,"Yes")/(COUNTIFS('Run Log'!$B$5:$B$204,"Randomizer",'Run Log'!$D$5:$D$204,"Full Run",'Run Log'!$E$5:$E$204,"&lt;&gt;")+COUNTIFS('Run Log'!$B$5:$B$204,"Randomizer",'Run Log'!$D$5:$D$204,"No-Reset Run",'Run Log'!$E$5:$E$204,"&lt;&gt;")+COUNTIFS('Run Log'!$B$5:$B$204,"Randomizer",'Run Log'!$D$5:$D$204,"PB Attempt",'Run Log'!$E$5:$E$204,"&lt;&gt;")),"")</x:f>
      </x:c>
      <x:c r="F30" s="308"/>
      <x:c r="G30" s="308"/>
      <x:c r="H30" s="308"/>
      <x:c r="I30" s="308"/>
      <x:c r="J30" s="308"/>
      <x:c r="K30" s="306"/>
      <x:c r="L30" s="306"/>
      <x:c r="M30" s="306"/>
      <x:c r="N30" s="306"/>
      <x:c r="O30" s="306"/>
      <x:c r="P30" s="306"/>
      <x:c r="Q30" s="306"/>
    </x:row>
    <x:row r="31" ht="28" customHeight="1">
      <x:c r="A31" s="469" t="str">
        <x:v>Vanilla Serious Attempts</x:v>
      </x:c>
      <x:c r="B31" s="480" t="n">
        <x:f>COUNTIFS('Run Log'!$B$5:$B$204,"Vanilla",'Run Log'!$D$5:$D$204,"Full Run",'Run Log'!$E$5:$E$204,"&lt;&gt;")+COUNTIFS('Run Log'!$B$5:$B$204,"Vanilla",'Run Log'!$D$5:$D$204,"No-Reset Run",'Run Log'!$E$5:$E$204,"&lt;&gt;")+COUNTIFS('Run Log'!$B$5:$B$204,"Vanilla",'Run Log'!$D$5:$D$204,"PB Attempt",'Run Log'!$E$5:$E$204,"&lt;&gt;")</x:f>
        <x:v>0</x:v>
      </x:c>
      <x:c r="C31" s="308"/>
      <x:c r="D31" s="469" t="str">
        <x:v>Randomizer Serious Attempts</x:v>
      </x:c>
      <x:c r="E31" s="480" t="n">
        <x:f>COUNTIFS('Run Log'!$B$5:$B$204,"Randomizer",'Run Log'!$D$5:$D$204,"Full Run",'Run Log'!$E$5:$E$204,"&lt;&gt;")+COUNTIFS('Run Log'!$B$5:$B$204,"Randomizer",'Run Log'!$D$5:$D$204,"No-Reset Run",'Run Log'!$E$5:$E$204,"&lt;&gt;")+COUNTIFS('Run Log'!$B$5:$B$204,"Randomizer",'Run Log'!$D$5:$D$204,"PB Attempt",'Run Log'!$E$5:$E$204,"&lt;&gt;")</x:f>
        <x:v>0</x:v>
      </x:c>
      <x:c r="F31" s="308"/>
      <x:c r="G31" s="308"/>
      <x:c r="H31" s="308"/>
      <x:c r="I31" s="308"/>
      <x:c r="J31" s="308"/>
      <x:c r="K31" s="306"/>
      <x:c r="L31" s="306"/>
      <x:c r="M31" s="306"/>
      <x:c r="N31" s="306"/>
      <x:c r="O31" s="306"/>
      <x:c r="P31" s="306"/>
      <x:c r="Q31" s="306"/>
    </x:row>
    <x:row r="32" ht="28" customHeight="1">
      <x:c r="A32" s="308"/>
      <x:c r="B32" s="308"/>
      <x:c r="C32" s="308"/>
      <x:c r="D32" s="308"/>
      <x:c r="E32" s="308"/>
      <x:c r="F32" s="308"/>
      <x:c r="G32" s="308"/>
      <x:c r="H32" s="308"/>
      <x:c r="I32" s="308"/>
      <x:c r="J32" s="308"/>
      <x:c r="K32" s="306"/>
      <x:c r="L32" s="306"/>
      <x:c r="M32" s="306"/>
      <x:c r="N32" s="306"/>
      <x:c r="O32" s="306"/>
      <x:c r="P32" s="306"/>
      <x:c r="Q32" s="306"/>
    </x:row>
    <x:row r="33" ht="28" customHeight="1">
      <x:c r="A33" s="482" t="str">
        <x:v>Personal Bests Recorded</x:v>
      </x:c>
      <x:c r="B33" s="485" t="n">
        <x:f>COUNTIF('Run Log'!$S$5:$S$204,"NEW PB")</x:f>
        <x:v>0</x:v>
      </x:c>
      <x:c r="C33" s="308"/>
      <x:c r="D33" s="482" t="str">
        <x:v>Qualifying Completions</x:v>
      </x:c>
      <x:c r="E33" s="485" t="n">
        <x:f>COUNTIF('Run Log'!$R$5:$R$204,"Yes")</x:f>
        <x:v>0</x:v>
      </x:c>
      <x:c r="F33" s="308"/>
      <x:c r="G33" s="308"/>
      <x:c r="H33" s="308"/>
      <x:c r="I33" s="308"/>
      <x:c r="J33" s="308"/>
      <x:c r="K33" s="306"/>
      <x:c r="L33" s="306"/>
      <x:c r="M33" s="306"/>
      <x:c r="N33" s="306"/>
      <x:c r="O33" s="306"/>
      <x:c r="P33" s="306"/>
      <x:c r="Q33" s="306"/>
    </x:row>
    <x:row r="34" ht="28" customHeight="1">
      <x:c r="A34" s="308"/>
      <x:c r="B34" s="308"/>
      <x:c r="C34" s="308"/>
      <x:c r="D34" s="308"/>
      <x:c r="E34" s="308"/>
      <x:c r="F34" s="308"/>
      <x:c r="G34" s="308"/>
      <x:c r="H34" s="308"/>
      <x:c r="I34" s="308"/>
      <x:c r="J34" s="308"/>
      <x:c r="K34" s="306"/>
      <x:c r="L34" s="306"/>
      <x:c r="M34" s="306"/>
      <x:c r="N34" s="306"/>
      <x:c r="O34" s="306"/>
      <x:c r="P34" s="306"/>
      <x:c r="Q34" s="306"/>
    </x:row>
    <x:row r="35" ht="24" customHeight="1">
      <x:c r="A35" s="506" t="str">
        <x:v>A qualifying run is a completed Full Run, No-Reset Run, or PB Attempt with a time entered. Segment practice and level practice still add to your practice totals, but they do not change best-time statistics. PB status is calculated in the order runs appear in the Run Log.</x:v>
      </x:c>
      <x:c r="B35" s="507"/>
      <x:c r="C35" s="507"/>
      <x:c r="D35" s="507"/>
      <x:c r="E35" s="507"/>
      <x:c r="F35" s="508"/>
      <x:c r="G35" s="308"/>
      <x:c r="H35" s="308"/>
      <x:c r="I35" s="308"/>
      <x:c r="J35" s="308"/>
      <x:c r="K35" s="306"/>
      <x:c r="L35" s="306"/>
      <x:c r="M35" s="306"/>
      <x:c r="N35" s="306"/>
      <x:c r="O35" s="306"/>
      <x:c r="P35" s="306"/>
      <x:c r="Q35" s="306"/>
    </x:row>
    <x:row r="36" ht="24" customHeight="1">
      <x:c r="A36" s="509"/>
      <x:c r="B36" s="510"/>
      <x:c r="C36" s="510"/>
      <x:c r="D36" s="510"/>
      <x:c r="E36" s="510"/>
      <x:c r="F36" s="511"/>
      <x:c r="G36" s="308"/>
      <x:c r="H36" s="308"/>
      <x:c r="I36" s="308"/>
      <x:c r="J36" s="308"/>
      <x:c r="K36" s="306"/>
      <x:c r="L36" s="306"/>
      <x:c r="M36" s="306"/>
      <x:c r="N36" s="306"/>
      <x:c r="O36" s="306"/>
      <x:c r="P36" s="306"/>
      <x:c r="Q36" s="306"/>
    </x:row>
    <x:row r="37" ht="24" customHeight="1">
      <x:c r="A37" s="509"/>
      <x:c r="B37" s="510"/>
      <x:c r="C37" s="510"/>
      <x:c r="D37" s="510"/>
      <x:c r="E37" s="510"/>
      <x:c r="F37" s="511"/>
      <x:c r="G37" s="308"/>
      <x:c r="H37" s="308"/>
      <x:c r="I37" s="308"/>
      <x:c r="J37" s="308"/>
      <x:c r="K37" s="306"/>
      <x:c r="L37" s="306"/>
      <x:c r="M37" s="306"/>
      <x:c r="N37" s="306"/>
      <x:c r="O37" s="306"/>
      <x:c r="P37" s="306"/>
      <x:c r="Q37" s="306"/>
    </x:row>
    <x:row r="38" ht="24" customHeight="1">
      <x:c r="A38" s="512"/>
      <x:c r="B38" s="513"/>
      <x:c r="C38" s="513"/>
      <x:c r="D38" s="513"/>
      <x:c r="E38" s="513"/>
      <x:c r="F38" s="514"/>
      <x:c r="G38" s="308"/>
      <x:c r="H38" s="308"/>
      <x:c r="I38" s="308"/>
      <x:c r="J38" s="308"/>
      <x:c r="K38" s="306"/>
      <x:c r="L38" s="306"/>
      <x:c r="M38" s="306"/>
      <x:c r="N38" s="306"/>
      <x:c r="O38" s="306"/>
      <x:c r="P38" s="306"/>
      <x:c r="Q38" s="306"/>
    </x:row>
    <x:row r="39">
      <x:c r="A39" s="308"/>
      <x:c r="B39" s="308"/>
      <x:c r="C39" s="308"/>
      <x:c r="D39" s="308"/>
      <x:c r="E39" s="308"/>
      <x:c r="F39" s="308"/>
      <x:c r="G39" s="308"/>
      <x:c r="H39" s="308"/>
      <x:c r="I39" s="308"/>
      <x:c r="J39" s="308"/>
      <x:c r="K39" s="306"/>
      <x:c r="L39" s="306"/>
      <x:c r="M39" s="306"/>
      <x:c r="N39" s="306"/>
      <x:c r="O39" s="306"/>
      <x:c r="P39" s="306"/>
      <x:c r="Q39" s="306"/>
    </x:row>
    <x:row r="40">
      <x:c r="A40" s="306"/>
      <x:c r="B40" s="306"/>
      <x:c r="C40" s="306"/>
      <x:c r="D40" s="306"/>
      <x:c r="E40" s="306"/>
      <x:c r="F40" s="306"/>
      <x:c r="G40" s="306"/>
      <x:c r="H40" s="306"/>
      <x:c r="I40" s="306"/>
      <x:c r="J40" s="306"/>
      <x:c r="K40" s="306"/>
      <x:c r="L40" s="306"/>
      <x:c r="M40" s="306"/>
      <x:c r="N40" s="306"/>
      <x:c r="O40" s="306"/>
      <x:c r="P40" s="306"/>
      <x:c r="Q40" s="306"/>
    </x:row>
    <x:row r="41">
      <x:c r="A41" s="306"/>
      <x:c r="B41" s="306"/>
      <x:c r="C41" s="306"/>
      <x:c r="D41" s="306"/>
      <x:c r="E41" s="306"/>
      <x:c r="F41" s="306"/>
      <x:c r="G41" s="306"/>
      <x:c r="H41" s="306"/>
      <x:c r="I41" s="306"/>
      <x:c r="J41" s="306"/>
      <x:c r="K41" s="306"/>
      <x:c r="L41" s="306"/>
      <x:c r="M41" s="306"/>
      <x:c r="N41" s="306"/>
      <x:c r="O41" s="306"/>
      <x:c r="P41" s="306"/>
      <x:c r="Q41" s="306"/>
    </x:row>
    <x:row r="42">
      <x:c r="A42" s="306"/>
      <x:c r="B42" s="306"/>
      <x:c r="C42" s="306"/>
      <x:c r="D42" s="306"/>
      <x:c r="E42" s="306"/>
      <x:c r="F42" s="306"/>
      <x:c r="G42" s="306"/>
      <x:c r="H42" s="306"/>
      <x:c r="I42" s="306"/>
      <x:c r="J42" s="306"/>
      <x:c r="K42" s="306"/>
      <x:c r="L42" s="306"/>
      <x:c r="M42" s="306"/>
      <x:c r="N42" s="306"/>
      <x:c r="O42" s="306"/>
      <x:c r="P42" s="306"/>
      <x:c r="Q42" s="306"/>
    </x:row>
    <x:row r="43">
      <x:c r="A43" s="306"/>
      <x:c r="B43" s="306"/>
      <x:c r="C43" s="306"/>
      <x:c r="D43" s="306"/>
      <x:c r="E43" s="306"/>
      <x:c r="F43" s="306"/>
      <x:c r="G43" s="306"/>
      <x:c r="H43" s="306"/>
      <x:c r="I43" s="306"/>
      <x:c r="J43" s="306"/>
      <x:c r="K43" s="306"/>
      <x:c r="L43" s="306"/>
      <x:c r="M43" s="306"/>
      <x:c r="N43" s="306"/>
      <x:c r="O43" s="306"/>
      <x:c r="P43" s="306"/>
      <x:c r="Q43" s="306"/>
    </x:row>
    <x:row r="44">
      <x:c r="A44" s="306"/>
      <x:c r="B44" s="306"/>
      <x:c r="C44" s="306"/>
      <x:c r="D44" s="306"/>
      <x:c r="E44" s="306"/>
      <x:c r="F44" s="306"/>
      <x:c r="G44" s="306"/>
      <x:c r="H44" s="306"/>
      <x:c r="I44" s="306"/>
      <x:c r="J44" s="306"/>
      <x:c r="K44" s="306"/>
      <x:c r="L44" s="306"/>
      <x:c r="M44" s="306"/>
      <x:c r="N44" s="306"/>
      <x:c r="O44" s="306"/>
      <x:c r="P44" s="306"/>
      <x:c r="Q44" s="306"/>
    </x:row>
    <x:row r="45">
      <x:c r="A45" s="306"/>
      <x:c r="B45" s="306"/>
      <x:c r="C45" s="306"/>
      <x:c r="D45" s="306"/>
      <x:c r="E45" s="306"/>
      <x:c r="F45" s="306"/>
      <x:c r="G45" s="306"/>
      <x:c r="H45" s="306"/>
      <x:c r="I45" s="306"/>
      <x:c r="J45" s="306"/>
      <x:c r="K45" s="306"/>
      <x:c r="L45" s="306"/>
      <x:c r="M45" s="306"/>
      <x:c r="N45" s="306"/>
      <x:c r="O45" s="306"/>
      <x:c r="P45" s="306"/>
      <x:c r="Q45" s="306"/>
    </x:row>
    <x:row r="46">
      <x:c r="A46" s="306"/>
      <x:c r="B46" s="306"/>
      <x:c r="C46" s="306"/>
      <x:c r="D46" s="306"/>
      <x:c r="E46" s="306"/>
      <x:c r="F46" s="306"/>
      <x:c r="G46" s="306"/>
      <x:c r="H46" s="306"/>
      <x:c r="I46" s="306"/>
      <x:c r="J46" s="306"/>
      <x:c r="K46" s="306"/>
      <x:c r="L46" s="306"/>
      <x:c r="M46" s="306"/>
      <x:c r="N46" s="306"/>
      <x:c r="O46" s="306"/>
      <x:c r="P46" s="306"/>
      <x:c r="Q46" s="306"/>
    </x:row>
    <x:row r="47">
      <x:c r="A47" s="306"/>
      <x:c r="B47" s="306"/>
      <x:c r="C47" s="306"/>
      <x:c r="D47" s="306"/>
      <x:c r="E47" s="306"/>
      <x:c r="F47" s="306"/>
      <x:c r="G47" s="306"/>
      <x:c r="H47" s="306"/>
      <x:c r="I47" s="306"/>
      <x:c r="J47" s="306"/>
      <x:c r="K47" s="306"/>
      <x:c r="L47" s="306"/>
      <x:c r="M47" s="306"/>
      <x:c r="N47" s="306"/>
      <x:c r="O47" s="306"/>
      <x:c r="P47" s="306"/>
      <x:c r="Q47" s="306"/>
    </x:row>
    <x:row r="48">
      <x:c r="A48" s="306"/>
      <x:c r="B48" s="306"/>
      <x:c r="C48" s="306"/>
      <x:c r="D48" s="306"/>
      <x:c r="E48" s="306"/>
      <x:c r="F48" s="306"/>
      <x:c r="G48" s="306"/>
      <x:c r="H48" s="306"/>
      <x:c r="I48" s="306"/>
      <x:c r="J48" s="306"/>
      <x:c r="K48" s="306"/>
      <x:c r="L48" s="306"/>
      <x:c r="M48" s="306"/>
      <x:c r="N48" s="306"/>
      <x:c r="O48" s="306"/>
      <x:c r="P48" s="306"/>
      <x:c r="Q48" s="306"/>
    </x:row>
    <x:row r="49">
      <x:c r="A49" s="306"/>
      <x:c r="B49" s="306"/>
      <x:c r="C49" s="306"/>
      <x:c r="D49" s="306"/>
      <x:c r="E49" s="306"/>
      <x:c r="F49" s="306"/>
      <x:c r="G49" s="306"/>
      <x:c r="H49" s="306"/>
      <x:c r="I49" s="306"/>
      <x:c r="J49" s="306"/>
      <x:c r="K49" s="306"/>
      <x:c r="L49" s="306"/>
      <x:c r="M49" s="306"/>
      <x:c r="N49" s="306"/>
      <x:c r="O49" s="306"/>
      <x:c r="P49" s="306"/>
      <x:c r="Q49" s="306"/>
    </x:row>
    <x:row r="50">
      <x:c r="A50" s="306"/>
      <x:c r="B50" s="306"/>
      <x:c r="C50" s="306"/>
      <x:c r="D50" s="306"/>
      <x:c r="E50" s="306"/>
      <x:c r="F50" s="306"/>
      <x:c r="G50" s="306"/>
      <x:c r="H50" s="306"/>
      <x:c r="I50" s="306"/>
      <x:c r="J50" s="306"/>
      <x:c r="K50" s="306"/>
      <x:c r="L50" s="306"/>
      <x:c r="M50" s="306"/>
      <x:c r="N50" s="306"/>
      <x:c r="O50" s="306"/>
      <x:c r="P50" s="306"/>
      <x:c r="Q50" s="306"/>
    </x:row>
    <x:row r="51">
      <x:c r="A51" s="306"/>
      <x:c r="B51" s="306"/>
      <x:c r="C51" s="306"/>
      <x:c r="D51" s="306"/>
      <x:c r="E51" s="306"/>
      <x:c r="F51" s="306"/>
      <x:c r="G51" s="306"/>
      <x:c r="H51" s="306"/>
      <x:c r="I51" s="306"/>
      <x:c r="J51" s="306"/>
      <x:c r="K51" s="306"/>
      <x:c r="L51" s="306"/>
      <x:c r="M51" s="306"/>
      <x:c r="N51" s="306"/>
      <x:c r="O51" s="306"/>
      <x:c r="P51" s="306"/>
      <x:c r="Q51" s="306"/>
    </x:row>
    <x:row r="52">
      <x:c r="A52" s="306"/>
      <x:c r="B52" s="306"/>
      <x:c r="C52" s="306"/>
      <x:c r="D52" s="306"/>
      <x:c r="E52" s="306"/>
      <x:c r="F52" s="306"/>
      <x:c r="G52" s="306"/>
      <x:c r="H52" s="306"/>
      <x:c r="I52" s="306"/>
      <x:c r="J52" s="306"/>
      <x:c r="K52" s="306"/>
      <x:c r="L52" s="306"/>
      <x:c r="M52" s="306"/>
      <x:c r="N52" s="306"/>
      <x:c r="O52" s="306"/>
      <x:c r="P52" s="306"/>
      <x:c r="Q52" s="306"/>
    </x:row>
    <x:row r="53">
      <x:c r="A53" s="306"/>
      <x:c r="B53" s="306"/>
      <x:c r="C53" s="306"/>
      <x:c r="D53" s="306"/>
      <x:c r="E53" s="306"/>
      <x:c r="F53" s="306"/>
      <x:c r="G53" s="306"/>
      <x:c r="H53" s="306"/>
      <x:c r="I53" s="306"/>
      <x:c r="J53" s="306"/>
      <x:c r="K53" s="306"/>
      <x:c r="L53" s="306"/>
      <x:c r="M53" s="306"/>
      <x:c r="N53" s="306"/>
      <x:c r="O53" s="306"/>
      <x:c r="P53" s="306"/>
      <x:c r="Q53" s="306"/>
    </x:row>
    <x:row r="54">
      <x:c r="A54" s="306"/>
      <x:c r="B54" s="306"/>
      <x:c r="C54" s="306"/>
      <x:c r="D54" s="306"/>
      <x:c r="E54" s="306"/>
      <x:c r="F54" s="306"/>
      <x:c r="G54" s="306"/>
      <x:c r="H54" s="306"/>
      <x:c r="I54" s="306"/>
      <x:c r="J54" s="306"/>
      <x:c r="K54" s="306"/>
      <x:c r="L54" s="306"/>
      <x:c r="M54" s="306"/>
      <x:c r="N54" s="306"/>
      <x:c r="O54" s="306"/>
      <x:c r="P54" s="306"/>
      <x:c r="Q54" s="306"/>
    </x:row>
    <x:row r="55">
      <x:c r="A55" s="306"/>
      <x:c r="B55" s="306"/>
      <x:c r="C55" s="306"/>
      <x:c r="D55" s="306"/>
      <x:c r="E55" s="306"/>
      <x:c r="F55" s="306"/>
      <x:c r="G55" s="306"/>
      <x:c r="H55" s="306"/>
      <x:c r="I55" s="306"/>
      <x:c r="J55" s="306"/>
      <x:c r="K55" s="306"/>
      <x:c r="L55" s="306"/>
      <x:c r="M55" s="306"/>
      <x:c r="N55" s="306"/>
      <x:c r="O55" s="306"/>
      <x:c r="P55" s="306"/>
      <x:c r="Q55" s="306"/>
    </x:row>
    <x:row r="56">
      <x:c r="A56" s="306"/>
      <x:c r="B56" s="306"/>
      <x:c r="C56" s="306"/>
      <x:c r="D56" s="306"/>
      <x:c r="E56" s="306"/>
      <x:c r="F56" s="306"/>
      <x:c r="G56" s="306"/>
      <x:c r="H56" s="306"/>
      <x:c r="I56" s="306"/>
      <x:c r="J56" s="306"/>
      <x:c r="K56" s="306"/>
      <x:c r="L56" s="306"/>
      <x:c r="M56" s="306"/>
      <x:c r="N56" s="306"/>
      <x:c r="O56" s="306"/>
      <x:c r="P56" s="306"/>
      <x:c r="Q56" s="306"/>
    </x:row>
    <x:row r="57">
      <x:c r="A57" s="306"/>
      <x:c r="B57" s="306"/>
      <x:c r="C57" s="306"/>
      <x:c r="D57" s="306"/>
      <x:c r="E57" s="306"/>
      <x:c r="F57" s="306"/>
      <x:c r="G57" s="306"/>
      <x:c r="H57" s="306"/>
      <x:c r="I57" s="306"/>
      <x:c r="J57" s="306"/>
      <x:c r="K57" s="306"/>
      <x:c r="L57" s="306"/>
      <x:c r="M57" s="306"/>
      <x:c r="N57" s="306"/>
      <x:c r="O57" s="306"/>
      <x:c r="P57" s="306"/>
      <x:c r="Q57" s="306"/>
    </x:row>
    <x:row r="58">
      <x:c r="A58" s="306"/>
      <x:c r="B58" s="306"/>
      <x:c r="C58" s="306"/>
      <x:c r="D58" s="306"/>
      <x:c r="E58" s="306"/>
      <x:c r="F58" s="306"/>
      <x:c r="G58" s="306"/>
      <x:c r="H58" s="306"/>
      <x:c r="I58" s="306"/>
      <x:c r="J58" s="306"/>
      <x:c r="K58" s="306"/>
      <x:c r="L58" s="306"/>
      <x:c r="M58" s="306"/>
      <x:c r="N58" s="306"/>
      <x:c r="O58" s="306"/>
      <x:c r="P58" s="306"/>
      <x:c r="Q58" s="306"/>
    </x:row>
    <x:row r="59">
      <x:c r="A59" s="306"/>
      <x:c r="B59" s="306"/>
      <x:c r="C59" s="306"/>
      <x:c r="D59" s="306"/>
      <x:c r="E59" s="306"/>
      <x:c r="F59" s="306"/>
      <x:c r="G59" s="306"/>
      <x:c r="H59" s="306"/>
      <x:c r="I59" s="306"/>
      <x:c r="J59" s="306"/>
      <x:c r="K59" s="306"/>
      <x:c r="L59" s="306"/>
      <x:c r="M59" s="306"/>
      <x:c r="N59" s="306"/>
      <x:c r="O59" s="306"/>
      <x:c r="P59" s="306"/>
      <x:c r="Q59" s="306"/>
    </x:row>
    <x:row r="60">
      <x:c r="A60" s="306"/>
      <x:c r="B60" s="306"/>
      <x:c r="C60" s="306"/>
      <x:c r="D60" s="306"/>
      <x:c r="E60" s="306"/>
      <x:c r="F60" s="306"/>
      <x:c r="G60" s="306"/>
      <x:c r="H60" s="306"/>
      <x:c r="I60" s="306"/>
      <x:c r="J60" s="306"/>
      <x:c r="K60" s="306"/>
      <x:c r="L60" s="306"/>
      <x:c r="M60" s="306"/>
      <x:c r="N60" s="306"/>
      <x:c r="O60" s="306"/>
      <x:c r="P60" s="306"/>
      <x:c r="Q60" s="306"/>
    </x:row>
    <x:row r="61">
      <x:c r="A61" s="306"/>
      <x:c r="B61" s="306"/>
      <x:c r="C61" s="306"/>
      <x:c r="D61" s="306"/>
      <x:c r="E61" s="306"/>
      <x:c r="F61" s="306"/>
      <x:c r="G61" s="306"/>
      <x:c r="H61" s="306"/>
      <x:c r="I61" s="306"/>
      <x:c r="J61" s="306"/>
      <x:c r="K61" s="306"/>
      <x:c r="L61" s="306"/>
      <x:c r="M61" s="306"/>
      <x:c r="N61" s="306"/>
      <x:c r="O61" s="306"/>
      <x:c r="P61" s="306"/>
      <x:c r="Q61" s="306"/>
    </x:row>
    <x:row r="62">
      <x:c r="A62" s="306"/>
      <x:c r="B62" s="306"/>
      <x:c r="C62" s="306"/>
      <x:c r="D62" s="306"/>
      <x:c r="E62" s="306"/>
      <x:c r="F62" s="306"/>
      <x:c r="G62" s="306"/>
      <x:c r="H62" s="306"/>
      <x:c r="I62" s="306"/>
      <x:c r="J62" s="306"/>
      <x:c r="K62" s="306"/>
      <x:c r="L62" s="306"/>
      <x:c r="M62" s="306"/>
      <x:c r="N62" s="306"/>
      <x:c r="O62" s="306"/>
      <x:c r="P62" s="306"/>
      <x:c r="Q62" s="306"/>
    </x:row>
    <x:row r="63">
      <x:c r="A63" s="306"/>
      <x:c r="B63" s="306"/>
      <x:c r="C63" s="306"/>
      <x:c r="D63" s="306"/>
      <x:c r="E63" s="306"/>
      <x:c r="F63" s="306"/>
      <x:c r="G63" s="306"/>
      <x:c r="H63" s="306"/>
      <x:c r="I63" s="306"/>
      <x:c r="J63" s="306"/>
      <x:c r="K63" s="306"/>
      <x:c r="L63" s="306"/>
      <x:c r="M63" s="306"/>
      <x:c r="N63" s="306"/>
      <x:c r="O63" s="306"/>
      <x:c r="P63" s="306"/>
      <x:c r="Q63" s="306"/>
    </x:row>
    <x:row r="64">
      <x:c r="A64" s="306"/>
      <x:c r="B64" s="306"/>
      <x:c r="C64" s="306"/>
      <x:c r="D64" s="306"/>
      <x:c r="E64" s="306"/>
      <x:c r="F64" s="306"/>
      <x:c r="G64" s="306"/>
      <x:c r="H64" s="306"/>
      <x:c r="I64" s="306"/>
      <x:c r="J64" s="306"/>
      <x:c r="K64" s="306"/>
      <x:c r="L64" s="306"/>
      <x:c r="M64" s="306"/>
      <x:c r="N64" s="306"/>
      <x:c r="O64" s="306"/>
      <x:c r="P64" s="306"/>
      <x:c r="Q64" s="306"/>
    </x:row>
    <x:row r="65">
      <x:c r="A65" s="306"/>
      <x:c r="B65" s="306"/>
      <x:c r="C65" s="306"/>
      <x:c r="D65" s="306"/>
      <x:c r="E65" s="306"/>
      <x:c r="F65" s="306"/>
      <x:c r="G65" s="306"/>
      <x:c r="H65" s="306"/>
      <x:c r="I65" s="306"/>
      <x:c r="J65" s="306"/>
      <x:c r="K65" s="306"/>
      <x:c r="L65" s="306"/>
      <x:c r="M65" s="306"/>
      <x:c r="N65" s="306"/>
      <x:c r="O65" s="306"/>
      <x:c r="P65" s="306"/>
      <x:c r="Q65" s="306"/>
    </x:row>
    <x:row r="66">
      <x:c r="A66" s="306"/>
      <x:c r="B66" s="306"/>
      <x:c r="C66" s="306"/>
      <x:c r="D66" s="306"/>
      <x:c r="E66" s="306"/>
      <x:c r="F66" s="306"/>
      <x:c r="G66" s="306"/>
      <x:c r="H66" s="306"/>
      <x:c r="I66" s="306"/>
      <x:c r="J66" s="306"/>
      <x:c r="K66" s="306"/>
      <x:c r="L66" s="306"/>
      <x:c r="M66" s="306"/>
      <x:c r="N66" s="306"/>
      <x:c r="O66" s="306"/>
      <x:c r="P66" s="306"/>
      <x:c r="Q66" s="306"/>
    </x:row>
    <x:row r="67">
      <x:c r="A67" s="306"/>
      <x:c r="B67" s="306"/>
      <x:c r="C67" s="306"/>
      <x:c r="D67" s="306"/>
      <x:c r="E67" s="306"/>
      <x:c r="F67" s="306"/>
      <x:c r="G67" s="306"/>
      <x:c r="H67" s="306"/>
      <x:c r="I67" s="306"/>
      <x:c r="J67" s="306"/>
      <x:c r="K67" s="306"/>
      <x:c r="L67" s="306"/>
      <x:c r="M67" s="306"/>
      <x:c r="N67" s="306"/>
      <x:c r="O67" s="306"/>
      <x:c r="P67" s="306"/>
      <x:c r="Q67" s="306"/>
    </x:row>
    <x:row r="68">
      <x:c r="A68" s="306"/>
      <x:c r="B68" s="306"/>
      <x:c r="C68" s="306"/>
      <x:c r="D68" s="306"/>
      <x:c r="E68" s="306"/>
      <x:c r="F68" s="306"/>
      <x:c r="G68" s="306"/>
      <x:c r="H68" s="306"/>
      <x:c r="I68" s="306"/>
      <x:c r="J68" s="306"/>
      <x:c r="K68" s="306"/>
      <x:c r="L68" s="306"/>
      <x:c r="M68" s="306"/>
      <x:c r="N68" s="306"/>
      <x:c r="O68" s="306"/>
      <x:c r="P68" s="306"/>
      <x:c r="Q68" s="306"/>
    </x:row>
    <x:row r="69">
      <x:c r="A69" s="306"/>
      <x:c r="B69" s="306"/>
      <x:c r="C69" s="306"/>
      <x:c r="D69" s="306"/>
      <x:c r="E69" s="306"/>
      <x:c r="F69" s="306"/>
      <x:c r="G69" s="306"/>
      <x:c r="H69" s="306"/>
      <x:c r="I69" s="306"/>
      <x:c r="J69" s="306"/>
      <x:c r="K69" s="306"/>
      <x:c r="L69" s="306"/>
      <x:c r="M69" s="306"/>
      <x:c r="N69" s="306"/>
      <x:c r="O69" s="306"/>
      <x:c r="P69" s="306"/>
      <x:c r="Q69" s="306"/>
    </x:row>
    <x:row r="70">
      <x:c r="A70" s="306"/>
      <x:c r="B70" s="306"/>
      <x:c r="C70" s="306"/>
      <x:c r="D70" s="306"/>
      <x:c r="E70" s="306"/>
      <x:c r="F70" s="306"/>
      <x:c r="G70" s="306"/>
      <x:c r="H70" s="306"/>
      <x:c r="I70" s="306"/>
      <x:c r="J70" s="306"/>
      <x:c r="K70" s="306"/>
      <x:c r="L70" s="306"/>
      <x:c r="M70" s="306"/>
      <x:c r="N70" s="306"/>
      <x:c r="O70" s="306"/>
      <x:c r="P70" s="306"/>
      <x:c r="Q70" s="306"/>
    </x:row>
    <x:row r="71">
      <x:c r="A71" s="306"/>
      <x:c r="B71" s="306"/>
      <x:c r="C71" s="306"/>
      <x:c r="D71" s="306"/>
      <x:c r="E71" s="306"/>
      <x:c r="F71" s="306"/>
      <x:c r="G71" s="306"/>
      <x:c r="H71" s="306"/>
      <x:c r="I71" s="306"/>
      <x:c r="J71" s="306"/>
      <x:c r="K71" s="306"/>
      <x:c r="L71" s="306"/>
      <x:c r="M71" s="306"/>
      <x:c r="N71" s="306"/>
      <x:c r="O71" s="306"/>
      <x:c r="P71" s="306"/>
      <x:c r="Q71" s="306"/>
    </x:row>
    <x:row r="72">
      <x:c r="A72" s="306"/>
      <x:c r="B72" s="306"/>
      <x:c r="C72" s="306"/>
      <x:c r="D72" s="306"/>
      <x:c r="E72" s="306"/>
      <x:c r="F72" s="306"/>
      <x:c r="G72" s="306"/>
      <x:c r="H72" s="306"/>
      <x:c r="I72" s="306"/>
      <x:c r="J72" s="306"/>
      <x:c r="K72" s="306"/>
      <x:c r="L72" s="306"/>
      <x:c r="M72" s="306"/>
      <x:c r="N72" s="306"/>
      <x:c r="O72" s="306"/>
      <x:c r="P72" s="306"/>
      <x:c r="Q72" s="306"/>
    </x:row>
    <x:row r="73">
      <x:c r="A73" s="306"/>
      <x:c r="B73" s="306"/>
      <x:c r="C73" s="306"/>
      <x:c r="D73" s="306"/>
      <x:c r="E73" s="306"/>
      <x:c r="F73" s="306"/>
      <x:c r="G73" s="306"/>
      <x:c r="H73" s="306"/>
      <x:c r="I73" s="306"/>
      <x:c r="J73" s="306"/>
      <x:c r="K73" s="306"/>
      <x:c r="L73" s="306"/>
      <x:c r="M73" s="306"/>
      <x:c r="N73" s="306"/>
      <x:c r="O73" s="306"/>
      <x:c r="P73" s="306"/>
      <x:c r="Q73" s="306"/>
    </x:row>
    <x:row r="74">
      <x:c r="A74" s="306"/>
      <x:c r="B74" s="306"/>
      <x:c r="C74" s="306"/>
      <x:c r="D74" s="306"/>
      <x:c r="E74" s="306"/>
      <x:c r="F74" s="306"/>
      <x:c r="G74" s="306"/>
      <x:c r="H74" s="306"/>
      <x:c r="I74" s="306"/>
      <x:c r="J74" s="306"/>
      <x:c r="K74" s="306"/>
      <x:c r="L74" s="306"/>
      <x:c r="M74" s="306"/>
      <x:c r="N74" s="306"/>
      <x:c r="O74" s="306"/>
      <x:c r="P74" s="306"/>
      <x:c r="Q74" s="306"/>
    </x:row>
    <x:row r="75">
      <x:c r="A75" s="306"/>
      <x:c r="B75" s="306"/>
      <x:c r="C75" s="306"/>
      <x:c r="D75" s="306"/>
      <x:c r="E75" s="306"/>
      <x:c r="F75" s="306"/>
      <x:c r="G75" s="306"/>
      <x:c r="H75" s="306"/>
      <x:c r="I75" s="306"/>
      <x:c r="J75" s="306"/>
      <x:c r="K75" s="306"/>
      <x:c r="L75" s="306"/>
      <x:c r="M75" s="306"/>
      <x:c r="N75" s="306"/>
      <x:c r="O75" s="306"/>
      <x:c r="P75" s="306"/>
      <x:c r="Q75" s="306"/>
    </x:row>
    <x:row r="76">
      <x:c r="A76" s="306"/>
      <x:c r="B76" s="306"/>
      <x:c r="C76" s="306"/>
      <x:c r="D76" s="306"/>
      <x:c r="E76" s="306"/>
      <x:c r="F76" s="306"/>
      <x:c r="G76" s="306"/>
      <x:c r="H76" s="306"/>
      <x:c r="I76" s="306"/>
      <x:c r="J76" s="306"/>
      <x:c r="K76" s="306"/>
      <x:c r="L76" s="306"/>
      <x:c r="M76" s="306"/>
      <x:c r="N76" s="306"/>
      <x:c r="O76" s="306"/>
      <x:c r="P76" s="306"/>
      <x:c r="Q76" s="306"/>
    </x:row>
    <x:row r="77">
      <x:c r="A77" s="306"/>
      <x:c r="B77" s="306"/>
      <x:c r="C77" s="306"/>
      <x:c r="D77" s="306"/>
      <x:c r="E77" s="306"/>
      <x:c r="F77" s="306"/>
      <x:c r="G77" s="306"/>
      <x:c r="H77" s="306"/>
      <x:c r="I77" s="306"/>
      <x:c r="J77" s="306"/>
      <x:c r="K77" s="306"/>
      <x:c r="L77" s="306"/>
      <x:c r="M77" s="306"/>
      <x:c r="N77" s="306"/>
      <x:c r="O77" s="306"/>
      <x:c r="P77" s="306"/>
      <x:c r="Q77" s="306"/>
    </x:row>
    <x:row r="78">
      <x:c r="A78" s="306"/>
      <x:c r="B78" s="306"/>
      <x:c r="C78" s="306"/>
      <x:c r="D78" s="306"/>
      <x:c r="E78" s="306"/>
      <x:c r="F78" s="306"/>
      <x:c r="G78" s="306"/>
      <x:c r="H78" s="306"/>
      <x:c r="I78" s="306"/>
      <x:c r="J78" s="306"/>
      <x:c r="K78" s="306"/>
      <x:c r="L78" s="306"/>
      <x:c r="M78" s="306"/>
      <x:c r="N78" s="306"/>
      <x:c r="O78" s="306"/>
      <x:c r="P78" s="306"/>
      <x:c r="Q78" s="306"/>
    </x:row>
    <x:row r="79">
      <x:c r="A79" s="306"/>
      <x:c r="B79" s="306"/>
      <x:c r="C79" s="306"/>
      <x:c r="D79" s="306"/>
      <x:c r="E79" s="306"/>
      <x:c r="F79" s="306"/>
      <x:c r="G79" s="306"/>
      <x:c r="H79" s="306"/>
      <x:c r="I79" s="306"/>
      <x:c r="J79" s="306"/>
      <x:c r="K79" s="306"/>
      <x:c r="L79" s="306"/>
      <x:c r="M79" s="306"/>
      <x:c r="N79" s="306"/>
      <x:c r="O79" s="306"/>
      <x:c r="P79" s="306"/>
      <x:c r="Q79" s="306"/>
    </x:row>
    <x:row r="80">
      <x:c r="A80" s="306"/>
      <x:c r="B80" s="306"/>
      <x:c r="C80" s="306"/>
      <x:c r="D80" s="306"/>
      <x:c r="E80" s="306"/>
      <x:c r="F80" s="306"/>
      <x:c r="G80" s="306"/>
      <x:c r="H80" s="306"/>
      <x:c r="I80" s="306"/>
      <x:c r="J80" s="306"/>
      <x:c r="K80" s="306"/>
      <x:c r="L80" s="306"/>
      <x:c r="M80" s="306"/>
      <x:c r="N80" s="306"/>
      <x:c r="O80" s="306"/>
      <x:c r="P80" s="306"/>
      <x:c r="Q80" s="306"/>
    </x:row>
    <x:row r="81">
      <x:c r="A81" s="306"/>
      <x:c r="B81" s="306"/>
      <x:c r="C81" s="306"/>
      <x:c r="D81" s="306"/>
      <x:c r="E81" s="306"/>
      <x:c r="F81" s="306"/>
      <x:c r="G81" s="306"/>
      <x:c r="H81" s="306"/>
      <x:c r="I81" s="306"/>
      <x:c r="J81" s="306"/>
      <x:c r="K81" s="306"/>
      <x:c r="L81" s="306"/>
      <x:c r="M81" s="306"/>
      <x:c r="N81" s="306"/>
      <x:c r="O81" s="306"/>
      <x:c r="P81" s="306"/>
      <x:c r="Q81" s="306"/>
    </x:row>
    <x:row r="82">
      <x:c r="A82" s="306"/>
      <x:c r="B82" s="306"/>
      <x:c r="C82" s="306"/>
      <x:c r="D82" s="306"/>
      <x:c r="E82" s="306"/>
      <x:c r="F82" s="306"/>
      <x:c r="G82" s="306"/>
      <x:c r="H82" s="306"/>
      <x:c r="I82" s="306"/>
      <x:c r="J82" s="306"/>
      <x:c r="K82" s="306"/>
      <x:c r="L82" s="306"/>
      <x:c r="M82" s="306"/>
      <x:c r="N82" s="306"/>
      <x:c r="O82" s="306"/>
      <x:c r="P82" s="306"/>
      <x:c r="Q82" s="306"/>
    </x:row>
    <x:row r="83">
      <x:c r="A83" s="306"/>
      <x:c r="B83" s="306"/>
      <x:c r="C83" s="306"/>
      <x:c r="D83" s="306"/>
      <x:c r="E83" s="306"/>
      <x:c r="F83" s="306"/>
      <x:c r="G83" s="306"/>
      <x:c r="H83" s="306"/>
      <x:c r="I83" s="306"/>
      <x:c r="J83" s="306"/>
      <x:c r="K83" s="306"/>
      <x:c r="L83" s="306"/>
      <x:c r="M83" s="306"/>
      <x:c r="N83" s="306"/>
      <x:c r="O83" s="306"/>
      <x:c r="P83" s="306"/>
      <x:c r="Q83" s="306"/>
    </x:row>
    <x:row r="84">
      <x:c r="A84" s="306"/>
      <x:c r="B84" s="306"/>
      <x:c r="C84" s="306"/>
      <x:c r="D84" s="306"/>
      <x:c r="E84" s="306"/>
      <x:c r="F84" s="306"/>
      <x:c r="G84" s="306"/>
      <x:c r="H84" s="306"/>
      <x:c r="I84" s="306"/>
      <x:c r="J84" s="306"/>
      <x:c r="K84" s="306"/>
      <x:c r="L84" s="306"/>
      <x:c r="M84" s="306"/>
      <x:c r="N84" s="306"/>
      <x:c r="O84" s="306"/>
      <x:c r="P84" s="306"/>
      <x:c r="Q84" s="306"/>
    </x:row>
    <x:row r="85">
      <x:c r="A85" s="306"/>
      <x:c r="B85" s="306"/>
      <x:c r="C85" s="306"/>
      <x:c r="D85" s="306"/>
      <x:c r="E85" s="306"/>
      <x:c r="F85" s="306"/>
      <x:c r="G85" s="306"/>
      <x:c r="H85" s="306"/>
      <x:c r="I85" s="306"/>
      <x:c r="J85" s="306"/>
      <x:c r="K85" s="306"/>
      <x:c r="L85" s="306"/>
      <x:c r="M85" s="306"/>
      <x:c r="N85" s="306"/>
      <x:c r="O85" s="306"/>
      <x:c r="P85" s="306"/>
      <x:c r="Q85" s="306"/>
    </x:row>
    <x:row r="86">
      <x:c r="A86" s="306"/>
      <x:c r="B86" s="306"/>
      <x:c r="C86" s="306"/>
      <x:c r="D86" s="306"/>
      <x:c r="E86" s="306"/>
      <x:c r="F86" s="306"/>
      <x:c r="G86" s="306"/>
      <x:c r="H86" s="306"/>
      <x:c r="I86" s="306"/>
      <x:c r="J86" s="306"/>
      <x:c r="K86" s="306"/>
      <x:c r="L86" s="306"/>
      <x:c r="M86" s="306"/>
      <x:c r="N86" s="306"/>
      <x:c r="O86" s="306"/>
      <x:c r="P86" s="306"/>
      <x:c r="Q86" s="306"/>
    </x:row>
    <x:row r="87">
      <x:c r="A87" s="306"/>
      <x:c r="B87" s="306"/>
      <x:c r="C87" s="306"/>
      <x:c r="D87" s="306"/>
      <x:c r="E87" s="306"/>
      <x:c r="F87" s="306"/>
      <x:c r="G87" s="306"/>
      <x:c r="H87" s="306"/>
      <x:c r="I87" s="306"/>
      <x:c r="J87" s="306"/>
      <x:c r="K87" s="306"/>
      <x:c r="L87" s="306"/>
      <x:c r="M87" s="306"/>
      <x:c r="N87" s="306"/>
      <x:c r="O87" s="306"/>
      <x:c r="P87" s="306"/>
      <x:c r="Q87" s="306"/>
    </x:row>
    <x:row r="88">
      <x:c r="A88" s="306"/>
      <x:c r="B88" s="306"/>
      <x:c r="C88" s="306"/>
      <x:c r="D88" s="306"/>
      <x:c r="E88" s="306"/>
      <x:c r="F88" s="306"/>
      <x:c r="G88" s="306"/>
      <x:c r="H88" s="306"/>
      <x:c r="I88" s="306"/>
      <x:c r="J88" s="306"/>
      <x:c r="K88" s="306"/>
      <x:c r="L88" s="306"/>
      <x:c r="M88" s="306"/>
      <x:c r="N88" s="306"/>
      <x:c r="O88" s="306"/>
      <x:c r="P88" s="306"/>
      <x:c r="Q88" s="306"/>
    </x:row>
    <x:row r="89">
      <x:c r="A89" s="306"/>
      <x:c r="B89" s="306"/>
      <x:c r="C89" s="306"/>
      <x:c r="D89" s="306"/>
      <x:c r="E89" s="306"/>
      <x:c r="F89" s="306"/>
      <x:c r="G89" s="306"/>
      <x:c r="H89" s="306"/>
      <x:c r="I89" s="306"/>
      <x:c r="J89" s="306"/>
      <x:c r="K89" s="306"/>
      <x:c r="L89" s="306"/>
      <x:c r="M89" s="306"/>
      <x:c r="N89" s="306"/>
      <x:c r="O89" s="306"/>
      <x:c r="P89" s="306"/>
      <x:c r="Q89" s="306"/>
    </x:row>
    <x:row r="90">
      <x:c r="A90" s="306"/>
      <x:c r="B90" s="306"/>
      <x:c r="C90" s="306"/>
      <x:c r="D90" s="306"/>
      <x:c r="E90" s="306"/>
      <x:c r="F90" s="306"/>
      <x:c r="G90" s="306"/>
      <x:c r="H90" s="306"/>
      <x:c r="I90" s="306"/>
      <x:c r="J90" s="306"/>
      <x:c r="K90" s="306"/>
      <x:c r="L90" s="306"/>
      <x:c r="M90" s="306"/>
      <x:c r="N90" s="306"/>
      <x:c r="O90" s="306"/>
      <x:c r="P90" s="306"/>
      <x:c r="Q90" s="306"/>
    </x:row>
    <x:row r="91">
      <x:c r="A91" s="306"/>
      <x:c r="B91" s="306"/>
      <x:c r="C91" s="306"/>
      <x:c r="D91" s="306"/>
      <x:c r="E91" s="306"/>
      <x:c r="F91" s="306"/>
      <x:c r="G91" s="306"/>
      <x:c r="H91" s="306"/>
      <x:c r="I91" s="306"/>
      <x:c r="J91" s="306"/>
      <x:c r="K91" s="306"/>
      <x:c r="L91" s="306"/>
      <x:c r="M91" s="306"/>
      <x:c r="N91" s="306"/>
      <x:c r="O91" s="306"/>
      <x:c r="P91" s="306"/>
      <x:c r="Q91" s="306"/>
    </x:row>
    <x:row r="92">
      <x:c r="A92" s="306"/>
      <x:c r="B92" s="306"/>
      <x:c r="C92" s="306"/>
      <x:c r="D92" s="306"/>
      <x:c r="E92" s="306"/>
      <x:c r="F92" s="306"/>
      <x:c r="G92" s="306"/>
      <x:c r="H92" s="306"/>
      <x:c r="I92" s="306"/>
      <x:c r="J92" s="306"/>
      <x:c r="K92" s="306"/>
      <x:c r="L92" s="306"/>
      <x:c r="M92" s="306"/>
      <x:c r="N92" s="306"/>
      <x:c r="O92" s="306"/>
      <x:c r="P92" s="306"/>
      <x:c r="Q92" s="306"/>
    </x:row>
    <x:row r="93">
      <x:c r="A93" s="306"/>
      <x:c r="B93" s="306"/>
      <x:c r="C93" s="306"/>
      <x:c r="D93" s="306"/>
      <x:c r="E93" s="306"/>
      <x:c r="F93" s="306"/>
      <x:c r="G93" s="306"/>
      <x:c r="H93" s="306"/>
      <x:c r="I93" s="306"/>
      <x:c r="J93" s="306"/>
      <x:c r="K93" s="306"/>
      <x:c r="L93" s="306"/>
      <x:c r="M93" s="306"/>
      <x:c r="N93" s="306"/>
      <x:c r="O93" s="306"/>
      <x:c r="P93" s="306"/>
      <x:c r="Q93" s="306"/>
    </x:row>
    <x:row r="94">
      <x:c r="A94" s="306"/>
      <x:c r="B94" s="306"/>
      <x:c r="C94" s="306"/>
      <x:c r="D94" s="306"/>
      <x:c r="E94" s="306"/>
      <x:c r="F94" s="306"/>
      <x:c r="G94" s="306"/>
      <x:c r="H94" s="306"/>
      <x:c r="I94" s="306"/>
      <x:c r="J94" s="306"/>
      <x:c r="K94" s="306"/>
      <x:c r="L94" s="306"/>
      <x:c r="M94" s="306"/>
      <x:c r="N94" s="306"/>
      <x:c r="O94" s="306"/>
      <x:c r="P94" s="306"/>
      <x:c r="Q94" s="306"/>
    </x:row>
    <x:row r="95">
      <x:c r="A95" s="306"/>
      <x:c r="B95" s="306"/>
      <x:c r="C95" s="306"/>
      <x:c r="D95" s="306"/>
      <x:c r="E95" s="306"/>
      <x:c r="F95" s="306"/>
      <x:c r="G95" s="306"/>
      <x:c r="H95" s="306"/>
      <x:c r="I95" s="306"/>
      <x:c r="J95" s="306"/>
      <x:c r="K95" s="306"/>
      <x:c r="L95" s="306"/>
      <x:c r="M95" s="306"/>
      <x:c r="N95" s="306"/>
      <x:c r="O95" s="306"/>
      <x:c r="P95" s="306"/>
      <x:c r="Q95" s="306"/>
    </x:row>
    <x:row r="96">
      <x:c r="A96" s="306"/>
      <x:c r="B96" s="306"/>
      <x:c r="C96" s="306"/>
      <x:c r="D96" s="306"/>
      <x:c r="E96" s="306"/>
      <x:c r="F96" s="306"/>
      <x:c r="G96" s="306"/>
      <x:c r="H96" s="306"/>
      <x:c r="I96" s="306"/>
      <x:c r="J96" s="306"/>
      <x:c r="K96" s="306"/>
      <x:c r="L96" s="306"/>
      <x:c r="M96" s="306"/>
      <x:c r="N96" s="306"/>
      <x:c r="O96" s="306"/>
      <x:c r="P96" s="306"/>
      <x:c r="Q96" s="306"/>
    </x:row>
    <x:row r="97">
      <x:c r="A97" s="306"/>
      <x:c r="B97" s="306"/>
      <x:c r="C97" s="306"/>
      <x:c r="D97" s="306"/>
      <x:c r="E97" s="306"/>
      <x:c r="F97" s="306"/>
      <x:c r="G97" s="306"/>
      <x:c r="H97" s="306"/>
      <x:c r="I97" s="306"/>
      <x:c r="J97" s="306"/>
      <x:c r="K97" s="306"/>
      <x:c r="L97" s="306"/>
      <x:c r="M97" s="306"/>
      <x:c r="N97" s="306"/>
      <x:c r="O97" s="306"/>
      <x:c r="P97" s="306"/>
      <x:c r="Q97" s="306"/>
    </x:row>
    <x:row r="98">
      <x:c r="A98" s="306"/>
      <x:c r="B98" s="306"/>
      <x:c r="C98" s="306"/>
      <x:c r="D98" s="306"/>
      <x:c r="E98" s="306"/>
      <x:c r="F98" s="306"/>
      <x:c r="G98" s="306"/>
      <x:c r="H98" s="306"/>
      <x:c r="I98" s="306"/>
      <x:c r="J98" s="306"/>
      <x:c r="K98" s="306"/>
      <x:c r="L98" s="306"/>
      <x:c r="M98" s="306"/>
      <x:c r="N98" s="306"/>
      <x:c r="O98" s="306"/>
      <x:c r="P98" s="306"/>
      <x:c r="Q98" s="306"/>
    </x:row>
    <x:row r="99">
      <x:c r="A99" s="306"/>
      <x:c r="B99" s="306"/>
      <x:c r="C99" s="306"/>
      <x:c r="D99" s="306"/>
      <x:c r="E99" s="306"/>
      <x:c r="F99" s="306"/>
      <x:c r="G99" s="306"/>
      <x:c r="H99" s="306"/>
      <x:c r="I99" s="306"/>
      <x:c r="J99" s="306"/>
      <x:c r="K99" s="306"/>
      <x:c r="L99" s="306"/>
      <x:c r="M99" s="306"/>
      <x:c r="N99" s="306"/>
      <x:c r="O99" s="306"/>
      <x:c r="P99" s="306"/>
      <x:c r="Q99" s="306"/>
    </x:row>
    <x:row r="100">
      <x:c r="A100" s="306"/>
      <x:c r="B100" s="306"/>
      <x:c r="C100" s="306"/>
      <x:c r="D100" s="306"/>
      <x:c r="E100" s="306"/>
      <x:c r="F100" s="306"/>
      <x:c r="G100" s="306"/>
      <x:c r="H100" s="306"/>
      <x:c r="I100" s="306"/>
      <x:c r="J100" s="306"/>
      <x:c r="K100" s="306"/>
      <x:c r="L100" s="306"/>
      <x:c r="M100" s="306"/>
      <x:c r="N100" s="306"/>
      <x:c r="O100" s="306"/>
      <x:c r="P100" s="306"/>
      <x:c r="Q100" s="306"/>
    </x:row>
    <x:row r="101">
      <x:c r="A101" s="306"/>
      <x:c r="B101" s="306"/>
      <x:c r="C101" s="306"/>
      <x:c r="D101" s="306"/>
      <x:c r="E101" s="306"/>
      <x:c r="F101" s="306"/>
      <x:c r="G101" s="306"/>
      <x:c r="H101" s="306"/>
      <x:c r="I101" s="306"/>
      <x:c r="J101" s="306"/>
      <x:c r="K101" s="306"/>
      <x:c r="L101" s="306"/>
      <x:c r="M101" s="306"/>
      <x:c r="N101" s="306"/>
      <x:c r="O101" s="306"/>
      <x:c r="P101" s="306"/>
      <x:c r="Q101" s="306"/>
    </x:row>
    <x:row r="102">
      <x:c r="A102" s="306"/>
      <x:c r="B102" s="306"/>
      <x:c r="C102" s="306"/>
      <x:c r="D102" s="306"/>
      <x:c r="E102" s="306"/>
      <x:c r="F102" s="306"/>
      <x:c r="G102" s="306"/>
      <x:c r="H102" s="306"/>
      <x:c r="I102" s="306"/>
      <x:c r="J102" s="306"/>
      <x:c r="K102" s="306"/>
      <x:c r="L102" s="306"/>
      <x:c r="M102" s="306"/>
      <x:c r="N102" s="306"/>
      <x:c r="O102" s="306"/>
      <x:c r="P102" s="306"/>
      <x:c r="Q102" s="306"/>
    </x:row>
    <x:row r="103">
      <x:c r="A103" s="306"/>
      <x:c r="B103" s="306"/>
      <x:c r="C103" s="306"/>
      <x:c r="D103" s="306"/>
      <x:c r="E103" s="306"/>
      <x:c r="F103" s="306"/>
      <x:c r="G103" s="306"/>
      <x:c r="H103" s="306"/>
      <x:c r="I103" s="306"/>
      <x:c r="J103" s="306"/>
      <x:c r="K103" s="306"/>
      <x:c r="L103" s="306"/>
      <x:c r="M103" s="306"/>
      <x:c r="N103" s="306"/>
      <x:c r="O103" s="306"/>
      <x:c r="P103" s="306"/>
      <x:c r="Q103" s="306"/>
    </x:row>
    <x:row r="104">
      <x:c r="A104" s="306"/>
      <x:c r="B104" s="306"/>
      <x:c r="C104" s="306"/>
      <x:c r="D104" s="306"/>
      <x:c r="E104" s="306"/>
      <x:c r="F104" s="306"/>
      <x:c r="G104" s="306"/>
      <x:c r="H104" s="306"/>
      <x:c r="I104" s="306"/>
      <x:c r="J104" s="306"/>
      <x:c r="K104" s="306"/>
      <x:c r="L104" s="306"/>
      <x:c r="M104" s="306"/>
      <x:c r="N104" s="306"/>
      <x:c r="O104" s="306"/>
      <x:c r="P104" s="306"/>
      <x:c r="Q104" s="306"/>
    </x:row>
    <x:row r="105">
      <x:c r="A105" s="306"/>
      <x:c r="B105" s="306"/>
      <x:c r="C105" s="306"/>
      <x:c r="D105" s="306"/>
      <x:c r="E105" s="306"/>
      <x:c r="F105" s="306"/>
      <x:c r="G105" s="306"/>
      <x:c r="H105" s="306"/>
      <x:c r="I105" s="306"/>
      <x:c r="J105" s="306"/>
      <x:c r="K105" s="306"/>
      <x:c r="L105" s="306"/>
      <x:c r="M105" s="306"/>
      <x:c r="N105" s="306"/>
      <x:c r="O105" s="306"/>
      <x:c r="P105" s="306"/>
      <x:c r="Q105" s="306"/>
    </x:row>
    <x:row r="106">
      <x:c r="A106" s="306"/>
      <x:c r="B106" s="306"/>
      <x:c r="C106" s="306"/>
      <x:c r="D106" s="306"/>
      <x:c r="E106" s="306"/>
      <x:c r="F106" s="306"/>
      <x:c r="G106" s="306"/>
      <x:c r="H106" s="306"/>
      <x:c r="I106" s="306"/>
      <x:c r="J106" s="306"/>
      <x:c r="K106" s="306"/>
      <x:c r="L106" s="306"/>
      <x:c r="M106" s="306"/>
      <x:c r="N106" s="306"/>
      <x:c r="O106" s="306"/>
      <x:c r="P106" s="306"/>
      <x:c r="Q106" s="306"/>
    </x:row>
    <x:row r="107">
      <x:c r="A107" s="306"/>
      <x:c r="B107" s="306"/>
      <x:c r="C107" s="306"/>
      <x:c r="D107" s="306"/>
      <x:c r="E107" s="306"/>
      <x:c r="F107" s="306"/>
      <x:c r="G107" s="306"/>
      <x:c r="H107" s="306"/>
      <x:c r="I107" s="306"/>
      <x:c r="J107" s="306"/>
      <x:c r="K107" s="306"/>
      <x:c r="L107" s="306"/>
      <x:c r="M107" s="306"/>
      <x:c r="N107" s="306"/>
      <x:c r="O107" s="306"/>
      <x:c r="P107" s="306"/>
      <x:c r="Q107" s="306"/>
    </x:row>
    <x:row r="108">
      <x:c r="A108" s="306"/>
      <x:c r="B108" s="306"/>
      <x:c r="C108" s="306"/>
      <x:c r="D108" s="306"/>
      <x:c r="E108" s="306"/>
      <x:c r="F108" s="306"/>
      <x:c r="G108" s="306"/>
      <x:c r="H108" s="306"/>
      <x:c r="I108" s="306"/>
      <x:c r="J108" s="306"/>
      <x:c r="K108" s="306"/>
      <x:c r="L108" s="306"/>
      <x:c r="M108" s="306"/>
      <x:c r="N108" s="306"/>
      <x:c r="O108" s="306"/>
      <x:c r="P108" s="306"/>
      <x:c r="Q108" s="306"/>
    </x:row>
    <x:row r="109">
      <x:c r="A109" s="306"/>
      <x:c r="B109" s="306"/>
      <x:c r="C109" s="306"/>
      <x:c r="D109" s="306"/>
      <x:c r="E109" s="306"/>
      <x:c r="F109" s="306"/>
      <x:c r="G109" s="306"/>
      <x:c r="H109" s="306"/>
      <x:c r="I109" s="306"/>
      <x:c r="J109" s="306"/>
      <x:c r="K109" s="306"/>
      <x:c r="L109" s="306"/>
      <x:c r="M109" s="306"/>
      <x:c r="N109" s="306"/>
      <x:c r="O109" s="306"/>
      <x:c r="P109" s="306"/>
      <x:c r="Q109" s="306"/>
    </x:row>
    <x:row r="110">
      <x:c r="A110" s="306"/>
      <x:c r="B110" s="306"/>
      <x:c r="C110" s="306"/>
      <x:c r="D110" s="306"/>
      <x:c r="E110" s="306"/>
      <x:c r="F110" s="306"/>
      <x:c r="G110" s="306"/>
      <x:c r="H110" s="306"/>
      <x:c r="I110" s="306"/>
      <x:c r="J110" s="306"/>
      <x:c r="K110" s="306"/>
      <x:c r="L110" s="306"/>
      <x:c r="M110" s="306"/>
      <x:c r="N110" s="306"/>
      <x:c r="O110" s="306"/>
      <x:c r="P110" s="306"/>
      <x:c r="Q110" s="306"/>
    </x:row>
    <x:row r="111">
      <x:c r="A111" s="306"/>
      <x:c r="B111" s="306"/>
      <x:c r="C111" s="306"/>
      <x:c r="D111" s="306"/>
      <x:c r="E111" s="306"/>
      <x:c r="F111" s="306"/>
      <x:c r="G111" s="306"/>
      <x:c r="H111" s="306"/>
      <x:c r="I111" s="306"/>
      <x:c r="J111" s="306"/>
      <x:c r="K111" s="306"/>
      <x:c r="L111" s="306"/>
      <x:c r="M111" s="306"/>
      <x:c r="N111" s="306"/>
      <x:c r="O111" s="306"/>
      <x:c r="P111" s="306"/>
      <x:c r="Q111" s="306"/>
    </x:row>
    <x:row r="112">
      <x:c r="A112" s="306"/>
      <x:c r="B112" s="306"/>
      <x:c r="C112" s="306"/>
      <x:c r="D112" s="306"/>
      <x:c r="E112" s="306"/>
      <x:c r="F112" s="306"/>
      <x:c r="G112" s="306"/>
      <x:c r="H112" s="306"/>
      <x:c r="I112" s="306"/>
      <x:c r="J112" s="306"/>
      <x:c r="K112" s="306"/>
      <x:c r="L112" s="306"/>
      <x:c r="M112" s="306"/>
      <x:c r="N112" s="306"/>
      <x:c r="O112" s="306"/>
      <x:c r="P112" s="306"/>
      <x:c r="Q112" s="306"/>
    </x:row>
    <x:row r="113">
      <x:c r="A113" s="306"/>
      <x:c r="B113" s="306"/>
      <x:c r="C113" s="306"/>
      <x:c r="D113" s="306"/>
      <x:c r="E113" s="306"/>
      <x:c r="F113" s="306"/>
      <x:c r="G113" s="306"/>
      <x:c r="H113" s="306"/>
      <x:c r="I113" s="306"/>
      <x:c r="J113" s="306"/>
      <x:c r="K113" s="306"/>
      <x:c r="L113" s="306"/>
      <x:c r="M113" s="306"/>
      <x:c r="N113" s="306"/>
      <x:c r="O113" s="306"/>
      <x:c r="P113" s="306"/>
      <x:c r="Q113" s="306"/>
    </x:row>
    <x:row r="114">
      <x:c r="A114" s="306"/>
      <x:c r="B114" s="306"/>
      <x:c r="C114" s="306"/>
      <x:c r="D114" s="306"/>
      <x:c r="E114" s="306"/>
      <x:c r="F114" s="306"/>
      <x:c r="G114" s="306"/>
      <x:c r="H114" s="306"/>
      <x:c r="I114" s="306"/>
      <x:c r="J114" s="306"/>
      <x:c r="K114" s="306"/>
      <x:c r="L114" s="306"/>
      <x:c r="M114" s="306"/>
      <x:c r="N114" s="306"/>
      <x:c r="O114" s="306"/>
      <x:c r="P114" s="306"/>
      <x:c r="Q114" s="306"/>
    </x:row>
    <x:row r="115">
      <x:c r="A115" s="306"/>
      <x:c r="B115" s="306"/>
      <x:c r="C115" s="306"/>
      <x:c r="D115" s="306"/>
      <x:c r="E115" s="306"/>
      <x:c r="F115" s="306"/>
      <x:c r="G115" s="306"/>
      <x:c r="H115" s="306"/>
      <x:c r="I115" s="306"/>
      <x:c r="J115" s="306"/>
      <x:c r="K115" s="306"/>
      <x:c r="L115" s="306"/>
      <x:c r="M115" s="306"/>
      <x:c r="N115" s="306"/>
      <x:c r="O115" s="306"/>
      <x:c r="P115" s="306"/>
      <x:c r="Q115" s="306"/>
    </x:row>
    <x:row r="116">
      <x:c r="A116" s="306"/>
      <x:c r="B116" s="306"/>
      <x:c r="C116" s="306"/>
      <x:c r="D116" s="306"/>
      <x:c r="E116" s="306"/>
      <x:c r="F116" s="306"/>
      <x:c r="G116" s="306"/>
      <x:c r="H116" s="306"/>
      <x:c r="I116" s="306"/>
      <x:c r="J116" s="306"/>
      <x:c r="K116" s="306"/>
      <x:c r="L116" s="306"/>
      <x:c r="M116" s="306"/>
      <x:c r="N116" s="306"/>
      <x:c r="O116" s="306"/>
      <x:c r="P116" s="306"/>
      <x:c r="Q116" s="306"/>
    </x:row>
    <x:row r="117">
      <x:c r="A117" s="306"/>
      <x:c r="B117" s="306"/>
      <x:c r="C117" s="306"/>
      <x:c r="D117" s="306"/>
      <x:c r="E117" s="306"/>
      <x:c r="F117" s="306"/>
      <x:c r="G117" s="306"/>
      <x:c r="H117" s="306"/>
      <x:c r="I117" s="306"/>
      <x:c r="J117" s="306"/>
      <x:c r="K117" s="306"/>
      <x:c r="L117" s="306"/>
      <x:c r="M117" s="306"/>
      <x:c r="N117" s="306"/>
      <x:c r="O117" s="306"/>
      <x:c r="P117" s="306"/>
      <x:c r="Q117" s="306"/>
    </x:row>
    <x:row r="118">
      <x:c r="A118" s="306"/>
      <x:c r="B118" s="306"/>
      <x:c r="C118" s="306"/>
      <x:c r="D118" s="306"/>
      <x:c r="E118" s="306"/>
      <x:c r="F118" s="306"/>
      <x:c r="G118" s="306"/>
      <x:c r="H118" s="306"/>
      <x:c r="I118" s="306"/>
      <x:c r="J118" s="306"/>
      <x:c r="K118" s="306"/>
      <x:c r="L118" s="306"/>
      <x:c r="M118" s="306"/>
      <x:c r="N118" s="306"/>
      <x:c r="O118" s="306"/>
      <x:c r="P118" s="306"/>
      <x:c r="Q118" s="306"/>
    </x:row>
    <x:row r="119">
      <x:c r="A119" s="306"/>
      <x:c r="B119" s="306"/>
      <x:c r="C119" s="306"/>
      <x:c r="D119" s="306"/>
      <x:c r="E119" s="306"/>
      <x:c r="F119" s="306"/>
      <x:c r="G119" s="306"/>
      <x:c r="H119" s="306"/>
      <x:c r="I119" s="306"/>
      <x:c r="J119" s="306"/>
      <x:c r="K119" s="306"/>
      <x:c r="L119" s="306"/>
      <x:c r="M119" s="306"/>
      <x:c r="N119" s="306"/>
      <x:c r="O119" s="306"/>
      <x:c r="P119" s="306"/>
      <x:c r="Q119" s="306"/>
    </x:row>
    <x:row r="120">
      <x:c r="A120" s="306"/>
      <x:c r="B120" s="306"/>
      <x:c r="C120" s="306"/>
      <x:c r="D120" s="306"/>
      <x:c r="E120" s="306"/>
      <x:c r="F120" s="306"/>
      <x:c r="G120" s="306"/>
      <x:c r="H120" s="306"/>
      <x:c r="I120" s="306"/>
      <x:c r="J120" s="306"/>
      <x:c r="K120" s="306"/>
      <x:c r="L120" s="306"/>
      <x:c r="M120" s="306"/>
      <x:c r="N120" s="306"/>
      <x:c r="O120" s="306"/>
      <x:c r="P120" s="306"/>
      <x:c r="Q120" s="306"/>
    </x:row>
    <x:row r="121">
      <x:c r="A121" s="306"/>
      <x:c r="B121" s="306"/>
      <x:c r="C121" s="306"/>
      <x:c r="D121" s="306"/>
      <x:c r="E121" s="306"/>
      <x:c r="F121" s="306"/>
      <x:c r="G121" s="306"/>
      <x:c r="H121" s="306"/>
      <x:c r="I121" s="306"/>
      <x:c r="J121" s="306"/>
      <x:c r="K121" s="306"/>
      <x:c r="L121" s="306"/>
      <x:c r="M121" s="306"/>
      <x:c r="N121" s="306"/>
      <x:c r="O121" s="306"/>
      <x:c r="P121" s="306"/>
      <x:c r="Q121" s="306"/>
    </x:row>
    <x:row r="122">
      <x:c r="A122" s="306"/>
      <x:c r="B122" s="306"/>
      <x:c r="C122" s="306"/>
      <x:c r="D122" s="306"/>
      <x:c r="E122" s="306"/>
      <x:c r="F122" s="306"/>
      <x:c r="G122" s="306"/>
      <x:c r="H122" s="306"/>
      <x:c r="I122" s="306"/>
      <x:c r="J122" s="306"/>
      <x:c r="K122" s="306"/>
      <x:c r="L122" s="306"/>
      <x:c r="M122" s="306"/>
      <x:c r="N122" s="306"/>
      <x:c r="O122" s="306"/>
      <x:c r="P122" s="306"/>
      <x:c r="Q122" s="306"/>
    </x:row>
    <x:row r="123">
      <x:c r="A123" s="306"/>
      <x:c r="B123" s="306"/>
      <x:c r="C123" s="306"/>
      <x:c r="D123" s="306"/>
      <x:c r="E123" s="306"/>
      <x:c r="F123" s="306"/>
      <x:c r="G123" s="306"/>
      <x:c r="H123" s="306"/>
      <x:c r="I123" s="306"/>
      <x:c r="J123" s="306"/>
      <x:c r="K123" s="306"/>
      <x:c r="L123" s="306"/>
      <x:c r="M123" s="306"/>
      <x:c r="N123" s="306"/>
      <x:c r="O123" s="306"/>
      <x:c r="P123" s="306"/>
      <x:c r="Q123" s="306"/>
    </x:row>
    <x:row r="124">
      <x:c r="A124" s="306"/>
      <x:c r="B124" s="306"/>
      <x:c r="C124" s="306"/>
      <x:c r="D124" s="306"/>
      <x:c r="E124" s="306"/>
      <x:c r="F124" s="306"/>
      <x:c r="G124" s="306"/>
      <x:c r="H124" s="306"/>
      <x:c r="I124" s="306"/>
      <x:c r="J124" s="306"/>
      <x:c r="K124" s="306"/>
      <x:c r="L124" s="306"/>
      <x:c r="M124" s="306"/>
      <x:c r="N124" s="306"/>
      <x:c r="O124" s="306"/>
      <x:c r="P124" s="306"/>
      <x:c r="Q124" s="306"/>
    </x:row>
    <x:row r="125">
      <x:c r="A125" s="306"/>
      <x:c r="B125" s="306"/>
      <x:c r="C125" s="306"/>
      <x:c r="D125" s="306"/>
      <x:c r="E125" s="306"/>
      <x:c r="F125" s="306"/>
      <x:c r="G125" s="306"/>
      <x:c r="H125" s="306"/>
      <x:c r="I125" s="306"/>
      <x:c r="J125" s="306"/>
      <x:c r="K125" s="306"/>
      <x:c r="L125" s="306"/>
      <x:c r="M125" s="306"/>
      <x:c r="N125" s="306"/>
      <x:c r="O125" s="306"/>
      <x:c r="P125" s="306"/>
      <x:c r="Q125" s="306"/>
    </x:row>
    <x:row r="126">
      <x:c r="A126" s="306"/>
      <x:c r="B126" s="306"/>
      <x:c r="C126" s="306"/>
      <x:c r="D126" s="306"/>
      <x:c r="E126" s="306"/>
      <x:c r="F126" s="306"/>
      <x:c r="G126" s="306"/>
      <x:c r="H126" s="306"/>
      <x:c r="I126" s="306"/>
      <x:c r="J126" s="306"/>
      <x:c r="K126" s="306"/>
      <x:c r="L126" s="306"/>
      <x:c r="M126" s="306"/>
      <x:c r="N126" s="306"/>
      <x:c r="O126" s="306"/>
      <x:c r="P126" s="306"/>
      <x:c r="Q126" s="306"/>
    </x:row>
    <x:row r="127">
      <x:c r="A127" s="306"/>
      <x:c r="B127" s="306"/>
      <x:c r="C127" s="306"/>
      <x:c r="D127" s="306"/>
      <x:c r="E127" s="306"/>
      <x:c r="F127" s="306"/>
      <x:c r="G127" s="306"/>
      <x:c r="H127" s="306"/>
      <x:c r="I127" s="306"/>
      <x:c r="J127" s="306"/>
      <x:c r="K127" s="306"/>
      <x:c r="L127" s="306"/>
      <x:c r="M127" s="306"/>
      <x:c r="N127" s="306"/>
      <x:c r="O127" s="306"/>
      <x:c r="P127" s="306"/>
      <x:c r="Q127" s="306"/>
    </x:row>
    <x:row r="128">
      <x:c r="A128" s="306"/>
      <x:c r="B128" s="306"/>
      <x:c r="C128" s="306"/>
      <x:c r="D128" s="306"/>
      <x:c r="E128" s="306"/>
      <x:c r="F128" s="306"/>
      <x:c r="G128" s="306"/>
      <x:c r="H128" s="306"/>
      <x:c r="I128" s="306"/>
      <x:c r="J128" s="306"/>
      <x:c r="K128" s="306"/>
      <x:c r="L128" s="306"/>
      <x:c r="M128" s="306"/>
      <x:c r="N128" s="306"/>
      <x:c r="O128" s="306"/>
      <x:c r="P128" s="306"/>
      <x:c r="Q128" s="306"/>
    </x:row>
    <x:row r="129">
      <x:c r="A129" s="306"/>
      <x:c r="B129" s="306"/>
      <x:c r="C129" s="306"/>
      <x:c r="D129" s="306"/>
      <x:c r="E129" s="306"/>
      <x:c r="F129" s="306"/>
      <x:c r="G129" s="306"/>
      <x:c r="H129" s="306"/>
      <x:c r="I129" s="306"/>
      <x:c r="J129" s="306"/>
      <x:c r="K129" s="306"/>
      <x:c r="L129" s="306"/>
      <x:c r="M129" s="306"/>
      <x:c r="N129" s="306"/>
      <x:c r="O129" s="306"/>
      <x:c r="P129" s="306"/>
      <x:c r="Q129" s="306"/>
    </x:row>
    <x:row r="130">
      <x:c r="A130" s="306"/>
      <x:c r="B130" s="306"/>
      <x:c r="C130" s="306"/>
      <x:c r="D130" s="306"/>
      <x:c r="E130" s="306"/>
      <x:c r="F130" s="306"/>
      <x:c r="G130" s="306"/>
      <x:c r="H130" s="306"/>
      <x:c r="I130" s="306"/>
      <x:c r="J130" s="306"/>
      <x:c r="K130" s="306"/>
      <x:c r="L130" s="306"/>
      <x:c r="M130" s="306"/>
      <x:c r="N130" s="306"/>
      <x:c r="O130" s="306"/>
      <x:c r="P130" s="306"/>
      <x:c r="Q130" s="306"/>
    </x:row>
    <x:row r="131">
      <x:c r="A131" s="306"/>
      <x:c r="B131" s="306"/>
      <x:c r="C131" s="306"/>
      <x:c r="D131" s="306"/>
      <x:c r="E131" s="306"/>
      <x:c r="F131" s="306"/>
      <x:c r="G131" s="306"/>
      <x:c r="H131" s="306"/>
      <x:c r="I131" s="306"/>
      <x:c r="J131" s="306"/>
      <x:c r="K131" s="306"/>
      <x:c r="L131" s="306"/>
      <x:c r="M131" s="306"/>
      <x:c r="N131" s="306"/>
      <x:c r="O131" s="306"/>
      <x:c r="P131" s="306"/>
      <x:c r="Q131" s="306"/>
    </x:row>
    <x:row r="132">
      <x:c r="A132" s="306"/>
      <x:c r="B132" s="306"/>
      <x:c r="C132" s="306"/>
      <x:c r="D132" s="306"/>
      <x:c r="E132" s="306"/>
      <x:c r="F132" s="306"/>
      <x:c r="G132" s="306"/>
      <x:c r="H132" s="306"/>
      <x:c r="I132" s="306"/>
      <x:c r="J132" s="306"/>
      <x:c r="K132" s="306"/>
      <x:c r="L132" s="306"/>
      <x:c r="M132" s="306"/>
      <x:c r="N132" s="306"/>
      <x:c r="O132" s="306"/>
      <x:c r="P132" s="306"/>
      <x:c r="Q132" s="306"/>
    </x:row>
    <x:row r="133">
      <x:c r="A133" s="306"/>
      <x:c r="B133" s="306"/>
      <x:c r="C133" s="306"/>
      <x:c r="D133" s="306"/>
      <x:c r="E133" s="306"/>
      <x:c r="F133" s="306"/>
      <x:c r="G133" s="306"/>
      <x:c r="H133" s="306"/>
      <x:c r="I133" s="306"/>
      <x:c r="J133" s="306"/>
      <x:c r="K133" s="306"/>
      <x:c r="L133" s="306"/>
      <x:c r="M133" s="306"/>
      <x:c r="N133" s="306"/>
      <x:c r="O133" s="306"/>
      <x:c r="P133" s="306"/>
      <x:c r="Q133" s="306"/>
    </x:row>
    <x:row r="134">
      <x:c r="A134" s="306"/>
      <x:c r="B134" s="306"/>
      <x:c r="C134" s="306"/>
      <x:c r="D134" s="306"/>
      <x:c r="E134" s="306"/>
      <x:c r="F134" s="306"/>
      <x:c r="G134" s="306"/>
      <x:c r="H134" s="306"/>
      <x:c r="I134" s="306"/>
      <x:c r="J134" s="306"/>
      <x:c r="K134" s="306"/>
      <x:c r="L134" s="306"/>
      <x:c r="M134" s="306"/>
      <x:c r="N134" s="306"/>
      <x:c r="O134" s="306"/>
      <x:c r="P134" s="306"/>
      <x:c r="Q134" s="306"/>
    </x:row>
    <x:row r="135">
      <x:c r="A135" s="306"/>
      <x:c r="B135" s="306"/>
      <x:c r="C135" s="306"/>
      <x:c r="D135" s="306"/>
      <x:c r="E135" s="306"/>
      <x:c r="F135" s="306"/>
      <x:c r="G135" s="306"/>
      <x:c r="H135" s="306"/>
      <x:c r="I135" s="306"/>
      <x:c r="J135" s="306"/>
      <x:c r="K135" s="306"/>
      <x:c r="L135" s="306"/>
      <x:c r="M135" s="306"/>
      <x:c r="N135" s="306"/>
      <x:c r="O135" s="306"/>
      <x:c r="P135" s="306"/>
      <x:c r="Q135" s="306"/>
    </x:row>
    <x:row r="136">
      <x:c r="A136" s="306"/>
      <x:c r="B136" s="306"/>
      <x:c r="C136" s="306"/>
      <x:c r="D136" s="306"/>
      <x:c r="E136" s="306"/>
      <x:c r="F136" s="306"/>
      <x:c r="G136" s="306"/>
      <x:c r="H136" s="306"/>
      <x:c r="I136" s="306"/>
      <x:c r="J136" s="306"/>
      <x:c r="K136" s="306"/>
      <x:c r="L136" s="306"/>
      <x:c r="M136" s="306"/>
      <x:c r="N136" s="306"/>
      <x:c r="O136" s="306"/>
      <x:c r="P136" s="306"/>
      <x:c r="Q136" s="306"/>
    </x:row>
    <x:row r="137">
      <x:c r="A137" s="306"/>
      <x:c r="B137" s="306"/>
      <x:c r="C137" s="306"/>
      <x:c r="D137" s="306"/>
      <x:c r="E137" s="306"/>
      <x:c r="F137" s="306"/>
      <x:c r="G137" s="306"/>
      <x:c r="H137" s="306"/>
      <x:c r="I137" s="306"/>
      <x:c r="J137" s="306"/>
      <x:c r="K137" s="306"/>
      <x:c r="L137" s="306"/>
      <x:c r="M137" s="306"/>
      <x:c r="N137" s="306"/>
      <x:c r="O137" s="306"/>
      <x:c r="P137" s="306"/>
      <x:c r="Q137" s="306"/>
    </x:row>
    <x:row r="138">
      <x:c r="A138" s="306"/>
      <x:c r="B138" s="306"/>
      <x:c r="C138" s="306"/>
      <x:c r="D138" s="306"/>
      <x:c r="E138" s="306"/>
      <x:c r="F138" s="306"/>
      <x:c r="G138" s="306"/>
      <x:c r="H138" s="306"/>
      <x:c r="I138" s="306"/>
      <x:c r="J138" s="306"/>
      <x:c r="K138" s="306"/>
      <x:c r="L138" s="306"/>
      <x:c r="M138" s="306"/>
      <x:c r="N138" s="306"/>
      <x:c r="O138" s="306"/>
      <x:c r="P138" s="306"/>
      <x:c r="Q138" s="306"/>
    </x:row>
    <x:row r="139">
      <x:c r="A139" s="306"/>
      <x:c r="B139" s="306"/>
      <x:c r="C139" s="306"/>
      <x:c r="D139" s="306"/>
      <x:c r="E139" s="306"/>
      <x:c r="F139" s="306"/>
      <x:c r="G139" s="306"/>
      <x:c r="H139" s="306"/>
      <x:c r="I139" s="306"/>
      <x:c r="J139" s="306"/>
      <x:c r="K139" s="306"/>
      <x:c r="L139" s="306"/>
      <x:c r="M139" s="306"/>
      <x:c r="N139" s="306"/>
      <x:c r="O139" s="306"/>
      <x:c r="P139" s="306"/>
      <x:c r="Q139" s="306"/>
    </x:row>
    <x:row r="140">
      <x:c r="A140" s="306"/>
      <x:c r="B140" s="306"/>
      <x:c r="C140" s="306"/>
      <x:c r="D140" s="306"/>
      <x:c r="E140" s="306"/>
      <x:c r="F140" s="306"/>
      <x:c r="G140" s="306"/>
      <x:c r="H140" s="306"/>
      <x:c r="I140" s="306"/>
      <x:c r="J140" s="306"/>
      <x:c r="K140" s="306"/>
      <x:c r="L140" s="306"/>
      <x:c r="M140" s="306"/>
      <x:c r="N140" s="306"/>
      <x:c r="O140" s="306"/>
      <x:c r="P140" s="306"/>
      <x:c r="Q140" s="306"/>
    </x:row>
    <x:row r="141">
      <x:c r="A141" s="306"/>
      <x:c r="B141" s="306"/>
      <x:c r="C141" s="306"/>
      <x:c r="D141" s="306"/>
      <x:c r="E141" s="306"/>
      <x:c r="F141" s="306"/>
      <x:c r="G141" s="306"/>
      <x:c r="H141" s="306"/>
      <x:c r="I141" s="306"/>
      <x:c r="J141" s="306"/>
      <x:c r="K141" s="306"/>
      <x:c r="L141" s="306"/>
      <x:c r="M141" s="306"/>
      <x:c r="N141" s="306"/>
      <x:c r="O141" s="306"/>
      <x:c r="P141" s="306"/>
      <x:c r="Q141" s="306"/>
    </x:row>
    <x:row r="142">
      <x:c r="A142" s="306"/>
      <x:c r="B142" s="306"/>
      <x:c r="C142" s="306"/>
      <x:c r="D142" s="306"/>
      <x:c r="E142" s="306"/>
      <x:c r="F142" s="306"/>
      <x:c r="G142" s="306"/>
      <x:c r="H142" s="306"/>
      <x:c r="I142" s="306"/>
      <x:c r="J142" s="306"/>
      <x:c r="K142" s="306"/>
      <x:c r="L142" s="306"/>
      <x:c r="M142" s="306"/>
      <x:c r="N142" s="306"/>
      <x:c r="O142" s="306"/>
      <x:c r="P142" s="306"/>
      <x:c r="Q142" s="306"/>
    </x:row>
    <x:row r="143">
      <x:c r="A143" s="306"/>
      <x:c r="B143" s="306"/>
      <x:c r="C143" s="306"/>
      <x:c r="D143" s="306"/>
      <x:c r="E143" s="306"/>
      <x:c r="F143" s="306"/>
      <x:c r="G143" s="306"/>
      <x:c r="H143" s="306"/>
      <x:c r="I143" s="306"/>
      <x:c r="J143" s="306"/>
      <x:c r="K143" s="306"/>
      <x:c r="L143" s="306"/>
      <x:c r="M143" s="306"/>
      <x:c r="N143" s="306"/>
      <x:c r="O143" s="306"/>
      <x:c r="P143" s="306"/>
      <x:c r="Q143" s="306"/>
    </x:row>
    <x:row r="144">
      <x:c r="A144" s="306"/>
      <x:c r="B144" s="306"/>
      <x:c r="C144" s="306"/>
      <x:c r="D144" s="306"/>
      <x:c r="E144" s="306"/>
      <x:c r="F144" s="306"/>
      <x:c r="G144" s="306"/>
      <x:c r="H144" s="306"/>
      <x:c r="I144" s="306"/>
      <x:c r="J144" s="306"/>
      <x:c r="K144" s="306"/>
      <x:c r="L144" s="306"/>
      <x:c r="M144" s="306"/>
      <x:c r="N144" s="306"/>
      <x:c r="O144" s="306"/>
      <x:c r="P144" s="306"/>
      <x:c r="Q144" s="306"/>
    </x:row>
    <x:row r="145">
      <x:c r="A145" s="306"/>
      <x:c r="B145" s="306"/>
      <x:c r="C145" s="306"/>
      <x:c r="D145" s="306"/>
      <x:c r="E145" s="306"/>
      <x:c r="F145" s="306"/>
      <x:c r="G145" s="306"/>
      <x:c r="H145" s="306"/>
      <x:c r="I145" s="306"/>
      <x:c r="J145" s="306"/>
      <x:c r="K145" s="306"/>
      <x:c r="L145" s="306"/>
      <x:c r="M145" s="306"/>
      <x:c r="N145" s="306"/>
      <x:c r="O145" s="306"/>
      <x:c r="P145" s="306"/>
      <x:c r="Q145" s="306"/>
    </x:row>
    <x:row r="146">
      <x:c r="A146" s="306"/>
      <x:c r="B146" s="306"/>
      <x:c r="C146" s="306"/>
      <x:c r="D146" s="306"/>
      <x:c r="E146" s="306"/>
      <x:c r="F146" s="306"/>
      <x:c r="G146" s="306"/>
      <x:c r="H146" s="306"/>
      <x:c r="I146" s="306"/>
      <x:c r="J146" s="306"/>
      <x:c r="K146" s="306"/>
      <x:c r="L146" s="306"/>
      <x:c r="M146" s="306"/>
      <x:c r="N146" s="306"/>
      <x:c r="O146" s="306"/>
      <x:c r="P146" s="306"/>
      <x:c r="Q146" s="306"/>
    </x:row>
    <x:row r="147">
      <x:c r="A147" s="306"/>
      <x:c r="B147" s="306"/>
      <x:c r="C147" s="306"/>
      <x:c r="D147" s="306"/>
      <x:c r="E147" s="306"/>
      <x:c r="F147" s="306"/>
      <x:c r="G147" s="306"/>
      <x:c r="H147" s="306"/>
      <x:c r="I147" s="306"/>
      <x:c r="J147" s="306"/>
      <x:c r="K147" s="306"/>
      <x:c r="L147" s="306"/>
      <x:c r="M147" s="306"/>
      <x:c r="N147" s="306"/>
      <x:c r="O147" s="306"/>
      <x:c r="P147" s="306"/>
      <x:c r="Q147" s="306"/>
    </x:row>
    <x:row r="148">
      <x:c r="A148" s="306"/>
      <x:c r="B148" s="306"/>
      <x:c r="C148" s="306"/>
      <x:c r="D148" s="306"/>
      <x:c r="E148" s="306"/>
      <x:c r="F148" s="306"/>
      <x:c r="G148" s="306"/>
      <x:c r="H148" s="306"/>
      <x:c r="I148" s="306"/>
      <x:c r="J148" s="306"/>
      <x:c r="K148" s="306"/>
      <x:c r="L148" s="306"/>
      <x:c r="M148" s="306"/>
      <x:c r="N148" s="306"/>
      <x:c r="O148" s="306"/>
      <x:c r="P148" s="306"/>
      <x:c r="Q148" s="306"/>
    </x:row>
    <x:row r="149">
      <x:c r="A149" s="306"/>
      <x:c r="B149" s="306"/>
      <x:c r="C149" s="306"/>
      <x:c r="D149" s="306"/>
      <x:c r="E149" s="306"/>
      <x:c r="F149" s="306"/>
      <x:c r="G149" s="306"/>
      <x:c r="H149" s="306"/>
      <x:c r="I149" s="306"/>
      <x:c r="J149" s="306"/>
      <x:c r="K149" s="306"/>
      <x:c r="L149" s="306"/>
      <x:c r="M149" s="306"/>
      <x:c r="N149" s="306"/>
      <x:c r="O149" s="306"/>
      <x:c r="P149" s="306"/>
      <x:c r="Q149" s="306"/>
    </x:row>
    <x:row r="150">
      <x:c r="A150" s="306"/>
      <x:c r="B150" s="306"/>
      <x:c r="C150" s="306"/>
      <x:c r="D150" s="306"/>
      <x:c r="E150" s="306"/>
      <x:c r="F150" s="306"/>
      <x:c r="G150" s="306"/>
      <x:c r="H150" s="306"/>
      <x:c r="I150" s="306"/>
      <x:c r="J150" s="306"/>
      <x:c r="K150" s="306"/>
      <x:c r="L150" s="306"/>
      <x:c r="M150" s="306"/>
      <x:c r="N150" s="306"/>
      <x:c r="O150" s="306"/>
      <x:c r="P150" s="306"/>
      <x:c r="Q150" s="306"/>
    </x:row>
    <x:row r="151">
      <x:c r="A151" s="306"/>
      <x:c r="B151" s="306"/>
      <x:c r="C151" s="306"/>
      <x:c r="D151" s="306"/>
      <x:c r="E151" s="306"/>
      <x:c r="F151" s="306"/>
      <x:c r="G151" s="306"/>
      <x:c r="H151" s="306"/>
      <x:c r="I151" s="306"/>
      <x:c r="J151" s="306"/>
      <x:c r="K151" s="306"/>
      <x:c r="L151" s="306"/>
      <x:c r="M151" s="306"/>
      <x:c r="N151" s="306"/>
      <x:c r="O151" s="306"/>
      <x:c r="P151" s="306"/>
      <x:c r="Q151" s="306"/>
    </x:row>
    <x:row r="152">
      <x:c r="A152" s="306"/>
      <x:c r="B152" s="306"/>
      <x:c r="C152" s="306"/>
      <x:c r="D152" s="306"/>
      <x:c r="E152" s="306"/>
      <x:c r="F152" s="306"/>
      <x:c r="G152" s="306"/>
      <x:c r="H152" s="306"/>
      <x:c r="I152" s="306"/>
      <x:c r="J152" s="306"/>
      <x:c r="K152" s="306"/>
      <x:c r="L152" s="306"/>
      <x:c r="M152" s="306"/>
      <x:c r="N152" s="306"/>
      <x:c r="O152" s="306"/>
      <x:c r="P152" s="306"/>
      <x:c r="Q152" s="306"/>
    </x:row>
    <x:row r="153">
      <x:c r="A153" s="306"/>
      <x:c r="B153" s="306"/>
      <x:c r="C153" s="306"/>
      <x:c r="D153" s="306"/>
      <x:c r="E153" s="306"/>
      <x:c r="F153" s="306"/>
      <x:c r="G153" s="306"/>
      <x:c r="H153" s="306"/>
      <x:c r="I153" s="306"/>
      <x:c r="J153" s="306"/>
      <x:c r="K153" s="306"/>
      <x:c r="L153" s="306"/>
      <x:c r="M153" s="306"/>
      <x:c r="N153" s="306"/>
      <x:c r="O153" s="306"/>
      <x:c r="P153" s="306"/>
      <x:c r="Q153" s="306"/>
    </x:row>
    <x:row r="154">
      <x:c r="A154" s="306"/>
      <x:c r="B154" s="306"/>
      <x:c r="C154" s="306"/>
      <x:c r="D154" s="306"/>
      <x:c r="E154" s="306"/>
      <x:c r="F154" s="306"/>
      <x:c r="G154" s="306"/>
      <x:c r="H154" s="306"/>
      <x:c r="I154" s="306"/>
      <x:c r="J154" s="306"/>
      <x:c r="K154" s="306"/>
      <x:c r="L154" s="306"/>
      <x:c r="M154" s="306"/>
      <x:c r="N154" s="306"/>
      <x:c r="O154" s="306"/>
      <x:c r="P154" s="306"/>
      <x:c r="Q154" s="306"/>
    </x:row>
    <x:row r="155">
      <x:c r="A155" s="306"/>
      <x:c r="B155" s="306"/>
      <x:c r="C155" s="306"/>
      <x:c r="D155" s="306"/>
      <x:c r="E155" s="306"/>
      <x:c r="F155" s="306"/>
      <x:c r="G155" s="306"/>
      <x:c r="H155" s="306"/>
      <x:c r="I155" s="306"/>
      <x:c r="J155" s="306"/>
      <x:c r="K155" s="306"/>
      <x:c r="L155" s="306"/>
      <x:c r="M155" s="306"/>
      <x:c r="N155" s="306"/>
      <x:c r="O155" s="306"/>
      <x:c r="P155" s="306"/>
      <x:c r="Q155" s="306"/>
    </x:row>
    <x:row r="156">
      <x:c r="A156" s="306"/>
      <x:c r="B156" s="306"/>
      <x:c r="C156" s="306"/>
      <x:c r="D156" s="306"/>
      <x:c r="E156" s="306"/>
      <x:c r="F156" s="306"/>
      <x:c r="G156" s="306"/>
      <x:c r="H156" s="306"/>
      <x:c r="I156" s="306"/>
      <x:c r="J156" s="306"/>
      <x:c r="K156" s="306"/>
      <x:c r="L156" s="306"/>
      <x:c r="M156" s="306"/>
      <x:c r="N156" s="306"/>
      <x:c r="O156" s="306"/>
      <x:c r="P156" s="306"/>
      <x:c r="Q156" s="306"/>
    </x:row>
    <x:row r="157">
      <x:c r="A157" s="306"/>
      <x:c r="B157" s="306"/>
      <x:c r="C157" s="306"/>
      <x:c r="D157" s="306"/>
      <x:c r="E157" s="306"/>
      <x:c r="F157" s="306"/>
      <x:c r="G157" s="306"/>
      <x:c r="H157" s="306"/>
      <x:c r="I157" s="306"/>
      <x:c r="J157" s="306"/>
      <x:c r="K157" s="306"/>
      <x:c r="L157" s="306"/>
      <x:c r="M157" s="306"/>
      <x:c r="N157" s="306"/>
      <x:c r="O157" s="306"/>
      <x:c r="P157" s="306"/>
      <x:c r="Q157" s="306"/>
    </x:row>
    <x:row r="158">
      <x:c r="A158" s="306"/>
      <x:c r="B158" s="306"/>
      <x:c r="C158" s="306"/>
      <x:c r="D158" s="306"/>
      <x:c r="E158" s="306"/>
      <x:c r="F158" s="306"/>
      <x:c r="G158" s="306"/>
      <x:c r="H158" s="306"/>
      <x:c r="I158" s="306"/>
      <x:c r="J158" s="306"/>
      <x:c r="K158" s="306"/>
      <x:c r="L158" s="306"/>
      <x:c r="M158" s="306"/>
      <x:c r="N158" s="306"/>
      <x:c r="O158" s="306"/>
      <x:c r="P158" s="306"/>
      <x:c r="Q158" s="306"/>
    </x:row>
    <x:row r="159">
      <x:c r="A159" s="306"/>
      <x:c r="B159" s="306"/>
      <x:c r="C159" s="306"/>
      <x:c r="D159" s="306"/>
      <x:c r="E159" s="306"/>
      <x:c r="F159" s="306"/>
      <x:c r="G159" s="306"/>
      <x:c r="H159" s="306"/>
      <x:c r="I159" s="306"/>
      <x:c r="J159" s="306"/>
      <x:c r="K159" s="306"/>
      <x:c r="L159" s="306"/>
      <x:c r="M159" s="306"/>
      <x:c r="N159" s="306"/>
      <x:c r="O159" s="306"/>
      <x:c r="P159" s="306"/>
      <x:c r="Q159" s="306"/>
    </x:row>
    <x:row r="160">
      <x:c r="A160" s="306"/>
      <x:c r="B160" s="306"/>
      <x:c r="C160" s="306"/>
      <x:c r="D160" s="306"/>
      <x:c r="E160" s="306"/>
      <x:c r="F160" s="306"/>
      <x:c r="G160" s="306"/>
      <x:c r="H160" s="306"/>
      <x:c r="I160" s="306"/>
      <x:c r="J160" s="306"/>
      <x:c r="K160" s="306"/>
      <x:c r="L160" s="306"/>
      <x:c r="M160" s="306"/>
      <x:c r="N160" s="306"/>
      <x:c r="O160" s="306"/>
      <x:c r="P160" s="306"/>
      <x:c r="Q160" s="306"/>
    </x:row>
    <x:row r="161">
      <x:c r="A161" s="306"/>
      <x:c r="B161" s="306"/>
      <x:c r="C161" s="306"/>
      <x:c r="D161" s="306"/>
      <x:c r="E161" s="306"/>
      <x:c r="F161" s="306"/>
      <x:c r="G161" s="306"/>
      <x:c r="H161" s="306"/>
      <x:c r="I161" s="306"/>
      <x:c r="J161" s="306"/>
      <x:c r="K161" s="306"/>
      <x:c r="L161" s="306"/>
      <x:c r="M161" s="306"/>
      <x:c r="N161" s="306"/>
      <x:c r="O161" s="306"/>
      <x:c r="P161" s="306"/>
      <x:c r="Q161" s="306"/>
    </x:row>
    <x:row r="162">
      <x:c r="A162" s="306"/>
      <x:c r="B162" s="306"/>
      <x:c r="C162" s="306"/>
      <x:c r="D162" s="306"/>
      <x:c r="E162" s="306"/>
      <x:c r="F162" s="306"/>
      <x:c r="G162" s="306"/>
      <x:c r="H162" s="306"/>
      <x:c r="I162" s="306"/>
      <x:c r="J162" s="306"/>
      <x:c r="K162" s="306"/>
      <x:c r="L162" s="306"/>
      <x:c r="M162" s="306"/>
      <x:c r="N162" s="306"/>
      <x:c r="O162" s="306"/>
      <x:c r="P162" s="306"/>
      <x:c r="Q162" s="306"/>
    </x:row>
    <x:row r="163">
      <x:c r="A163" s="306"/>
      <x:c r="B163" s="306"/>
      <x:c r="C163" s="306"/>
      <x:c r="D163" s="306"/>
      <x:c r="E163" s="306"/>
      <x:c r="F163" s="306"/>
      <x:c r="G163" s="306"/>
      <x:c r="H163" s="306"/>
      <x:c r="I163" s="306"/>
      <x:c r="J163" s="306"/>
      <x:c r="K163" s="306"/>
      <x:c r="L163" s="306"/>
      <x:c r="M163" s="306"/>
      <x:c r="N163" s="306"/>
      <x:c r="O163" s="306"/>
      <x:c r="P163" s="306"/>
      <x:c r="Q163" s="306"/>
    </x:row>
    <x:row r="164">
      <x:c r="A164" s="306"/>
      <x:c r="B164" s="306"/>
      <x:c r="C164" s="306"/>
      <x:c r="D164" s="306"/>
      <x:c r="E164" s="306"/>
      <x:c r="F164" s="306"/>
      <x:c r="G164" s="306"/>
      <x:c r="H164" s="306"/>
      <x:c r="I164" s="306"/>
      <x:c r="J164" s="306"/>
      <x:c r="K164" s="306"/>
      <x:c r="L164" s="306"/>
      <x:c r="M164" s="306"/>
      <x:c r="N164" s="306"/>
      <x:c r="O164" s="306"/>
      <x:c r="P164" s="306"/>
      <x:c r="Q164" s="306"/>
    </x:row>
    <x:row r="165">
      <x:c r="A165" s="306"/>
      <x:c r="B165" s="306"/>
      <x:c r="C165" s="306"/>
      <x:c r="D165" s="306"/>
      <x:c r="E165" s="306"/>
      <x:c r="F165" s="306"/>
      <x:c r="G165" s="306"/>
      <x:c r="H165" s="306"/>
      <x:c r="I165" s="306"/>
      <x:c r="J165" s="306"/>
      <x:c r="K165" s="306"/>
      <x:c r="L165" s="306"/>
      <x:c r="M165" s="306"/>
      <x:c r="N165" s="306"/>
      <x:c r="O165" s="306"/>
      <x:c r="P165" s="306"/>
      <x:c r="Q165" s="306"/>
    </x:row>
    <x:row r="166">
      <x:c r="A166" s="306"/>
      <x:c r="B166" s="306"/>
      <x:c r="C166" s="306"/>
      <x:c r="D166" s="306"/>
      <x:c r="E166" s="306"/>
      <x:c r="F166" s="306"/>
      <x:c r="G166" s="306"/>
      <x:c r="H166" s="306"/>
      <x:c r="I166" s="306"/>
      <x:c r="J166" s="306"/>
      <x:c r="K166" s="306"/>
      <x:c r="L166" s="306"/>
      <x:c r="M166" s="306"/>
      <x:c r="N166" s="306"/>
      <x:c r="O166" s="306"/>
      <x:c r="P166" s="306"/>
      <x:c r="Q166" s="306"/>
    </x:row>
    <x:row r="167">
      <x:c r="A167" s="306"/>
      <x:c r="B167" s="306"/>
      <x:c r="C167" s="306"/>
      <x:c r="D167" s="306"/>
      <x:c r="E167" s="306"/>
      <x:c r="F167" s="306"/>
      <x:c r="G167" s="306"/>
      <x:c r="H167" s="306"/>
      <x:c r="I167" s="306"/>
      <x:c r="J167" s="306"/>
      <x:c r="K167" s="306"/>
      <x:c r="L167" s="306"/>
      <x:c r="M167" s="306"/>
      <x:c r="N167" s="306"/>
      <x:c r="O167" s="306"/>
      <x:c r="P167" s="306"/>
      <x:c r="Q167" s="306"/>
    </x:row>
    <x:row r="168">
      <x:c r="A168" s="306"/>
      <x:c r="B168" s="306"/>
      <x:c r="C168" s="306"/>
      <x:c r="D168" s="306"/>
      <x:c r="E168" s="306"/>
      <x:c r="F168" s="306"/>
      <x:c r="G168" s="306"/>
      <x:c r="H168" s="306"/>
      <x:c r="I168" s="306"/>
      <x:c r="J168" s="306"/>
      <x:c r="K168" s="306"/>
      <x:c r="L168" s="306"/>
      <x:c r="M168" s="306"/>
      <x:c r="N168" s="306"/>
      <x:c r="O168" s="306"/>
      <x:c r="P168" s="306"/>
      <x:c r="Q168" s="306"/>
    </x:row>
    <x:row r="169">
      <x:c r="A169" s="306"/>
      <x:c r="B169" s="306"/>
      <x:c r="C169" s="306"/>
      <x:c r="D169" s="306"/>
      <x:c r="E169" s="306"/>
      <x:c r="F169" s="306"/>
      <x:c r="G169" s="306"/>
      <x:c r="H169" s="306"/>
      <x:c r="I169" s="306"/>
      <x:c r="J169" s="306"/>
      <x:c r="K169" s="306"/>
      <x:c r="L169" s="306"/>
      <x:c r="M169" s="306"/>
      <x:c r="N169" s="306"/>
      <x:c r="O169" s="306"/>
      <x:c r="P169" s="306"/>
      <x:c r="Q169" s="306"/>
    </x:row>
    <x:row r="170">
      <x:c r="A170" s="306"/>
      <x:c r="B170" s="306"/>
      <x:c r="C170" s="306"/>
      <x:c r="D170" s="306"/>
      <x:c r="E170" s="306"/>
      <x:c r="F170" s="306"/>
      <x:c r="G170" s="306"/>
      <x:c r="H170" s="306"/>
      <x:c r="I170" s="306"/>
      <x:c r="J170" s="306"/>
      <x:c r="K170" s="306"/>
      <x:c r="L170" s="306"/>
      <x:c r="M170" s="306"/>
      <x:c r="N170" s="306"/>
      <x:c r="O170" s="306"/>
      <x:c r="P170" s="306"/>
      <x:c r="Q170" s="306"/>
    </x:row>
    <x:row r="171">
      <x:c r="A171" s="306"/>
      <x:c r="B171" s="306"/>
      <x:c r="C171" s="306"/>
      <x:c r="D171" s="306"/>
      <x:c r="E171" s="306"/>
      <x:c r="F171" s="306"/>
      <x:c r="G171" s="306"/>
      <x:c r="H171" s="306"/>
      <x:c r="I171" s="306"/>
      <x:c r="J171" s="306"/>
      <x:c r="K171" s="306"/>
      <x:c r="L171" s="306"/>
      <x:c r="M171" s="306"/>
      <x:c r="N171" s="306"/>
      <x:c r="O171" s="306"/>
      <x:c r="P171" s="306"/>
      <x:c r="Q171" s="306"/>
    </x:row>
    <x:row r="172">
      <x:c r="A172" s="306"/>
      <x:c r="B172" s="306"/>
      <x:c r="C172" s="306"/>
      <x:c r="D172" s="306"/>
      <x:c r="E172" s="306"/>
      <x:c r="F172" s="306"/>
      <x:c r="G172" s="306"/>
      <x:c r="H172" s="306"/>
      <x:c r="I172" s="306"/>
      <x:c r="J172" s="306"/>
      <x:c r="K172" s="306"/>
      <x:c r="L172" s="306"/>
      <x:c r="M172" s="306"/>
      <x:c r="N172" s="306"/>
      <x:c r="O172" s="306"/>
      <x:c r="P172" s="306"/>
      <x:c r="Q172" s="306"/>
    </x:row>
    <x:row r="173">
      <x:c r="A173" s="306"/>
      <x:c r="B173" s="306"/>
      <x:c r="C173" s="306"/>
      <x:c r="D173" s="306"/>
      <x:c r="E173" s="306"/>
      <x:c r="F173" s="306"/>
      <x:c r="G173" s="306"/>
      <x:c r="H173" s="306"/>
      <x:c r="I173" s="306"/>
      <x:c r="J173" s="306"/>
      <x:c r="K173" s="306"/>
      <x:c r="L173" s="306"/>
      <x:c r="M173" s="306"/>
      <x:c r="N173" s="306"/>
      <x:c r="O173" s="306"/>
      <x:c r="P173" s="306"/>
      <x:c r="Q173" s="306"/>
    </x:row>
    <x:row r="174">
      <x:c r="A174" s="306"/>
      <x:c r="B174" s="306"/>
      <x:c r="C174" s="306"/>
      <x:c r="D174" s="306"/>
      <x:c r="E174" s="306"/>
      <x:c r="F174" s="306"/>
      <x:c r="G174" s="306"/>
      <x:c r="H174" s="306"/>
      <x:c r="I174" s="306"/>
      <x:c r="J174" s="306"/>
      <x:c r="K174" s="306"/>
      <x:c r="L174" s="306"/>
      <x:c r="M174" s="306"/>
      <x:c r="N174" s="306"/>
      <x:c r="O174" s="306"/>
      <x:c r="P174" s="306"/>
      <x:c r="Q174" s="306"/>
    </x:row>
    <x:row r="175">
      <x:c r="A175" s="306"/>
      <x:c r="B175" s="306"/>
      <x:c r="C175" s="306"/>
      <x:c r="D175" s="306"/>
      <x:c r="E175" s="306"/>
      <x:c r="F175" s="306"/>
      <x:c r="G175" s="306"/>
      <x:c r="H175" s="306"/>
      <x:c r="I175" s="306"/>
      <x:c r="J175" s="306"/>
      <x:c r="K175" s="306"/>
      <x:c r="L175" s="306"/>
      <x:c r="M175" s="306"/>
      <x:c r="N175" s="306"/>
      <x:c r="O175" s="306"/>
      <x:c r="P175" s="306"/>
      <x:c r="Q175" s="306"/>
    </x:row>
    <x:row r="176">
      <x:c r="A176" s="306"/>
      <x:c r="B176" s="306"/>
      <x:c r="C176" s="306"/>
      <x:c r="D176" s="306"/>
      <x:c r="E176" s="306"/>
      <x:c r="F176" s="306"/>
      <x:c r="G176" s="306"/>
      <x:c r="H176" s="306"/>
      <x:c r="I176" s="306"/>
      <x:c r="J176" s="306"/>
      <x:c r="K176" s="306"/>
      <x:c r="L176" s="306"/>
      <x:c r="M176" s="306"/>
      <x:c r="N176" s="306"/>
      <x:c r="O176" s="306"/>
      <x:c r="P176" s="306"/>
      <x:c r="Q176" s="306"/>
    </x:row>
    <x:row r="177">
      <x:c r="A177" s="306"/>
      <x:c r="B177" s="306"/>
      <x:c r="C177" s="306"/>
      <x:c r="D177" s="306"/>
      <x:c r="E177" s="306"/>
      <x:c r="F177" s="306"/>
      <x:c r="G177" s="306"/>
      <x:c r="H177" s="306"/>
      <x:c r="I177" s="306"/>
      <x:c r="J177" s="306"/>
      <x:c r="K177" s="306"/>
      <x:c r="L177" s="306"/>
      <x:c r="M177" s="306"/>
      <x:c r="N177" s="306"/>
      <x:c r="O177" s="306"/>
      <x:c r="P177" s="306"/>
      <x:c r="Q177" s="306"/>
    </x:row>
    <x:row r="178">
      <x:c r="A178" s="306"/>
      <x:c r="B178" s="306"/>
      <x:c r="C178" s="306"/>
      <x:c r="D178" s="306"/>
      <x:c r="E178" s="306"/>
      <x:c r="F178" s="306"/>
      <x:c r="G178" s="306"/>
      <x:c r="H178" s="306"/>
      <x:c r="I178" s="306"/>
      <x:c r="J178" s="306"/>
      <x:c r="K178" s="306"/>
      <x:c r="L178" s="306"/>
      <x:c r="M178" s="306"/>
      <x:c r="N178" s="306"/>
      <x:c r="O178" s="306"/>
      <x:c r="P178" s="306"/>
      <x:c r="Q178" s="306"/>
    </x:row>
    <x:row r="179">
      <x:c r="A179" s="306"/>
      <x:c r="B179" s="306"/>
      <x:c r="C179" s="306"/>
      <x:c r="D179" s="306"/>
      <x:c r="E179" s="306"/>
      <x:c r="F179" s="306"/>
      <x:c r="G179" s="306"/>
      <x:c r="H179" s="306"/>
      <x:c r="I179" s="306"/>
      <x:c r="J179" s="306"/>
      <x:c r="K179" s="306"/>
      <x:c r="L179" s="306"/>
      <x:c r="M179" s="306"/>
      <x:c r="N179" s="306"/>
      <x:c r="O179" s="306"/>
      <x:c r="P179" s="306"/>
      <x:c r="Q179" s="306"/>
    </x:row>
    <x:row r="180">
      <x:c r="A180" s="306"/>
      <x:c r="B180" s="306"/>
      <x:c r="C180" s="306"/>
      <x:c r="D180" s="306"/>
      <x:c r="E180" s="306"/>
      <x:c r="F180" s="306"/>
      <x:c r="G180" s="306"/>
      <x:c r="H180" s="306"/>
      <x:c r="I180" s="306"/>
      <x:c r="J180" s="306"/>
      <x:c r="K180" s="306"/>
      <x:c r="L180" s="306"/>
      <x:c r="M180" s="306"/>
      <x:c r="N180" s="306"/>
      <x:c r="O180" s="306"/>
      <x:c r="P180" s="306"/>
      <x:c r="Q180" s="306"/>
    </x:row>
    <x:row r="181">
      <x:c r="A181" s="306"/>
      <x:c r="B181" s="306"/>
      <x:c r="C181" s="306"/>
      <x:c r="D181" s="306"/>
      <x:c r="E181" s="306"/>
      <x:c r="F181" s="306"/>
      <x:c r="G181" s="306"/>
      <x:c r="H181" s="306"/>
      <x:c r="I181" s="306"/>
      <x:c r="J181" s="306"/>
      <x:c r="K181" s="306"/>
      <x:c r="L181" s="306"/>
      <x:c r="M181" s="306"/>
      <x:c r="N181" s="306"/>
      <x:c r="O181" s="306"/>
      <x:c r="P181" s="306"/>
      <x:c r="Q181" s="306"/>
    </x:row>
    <x:row r="182">
      <x:c r="A182" s="306"/>
      <x:c r="B182" s="306"/>
      <x:c r="C182" s="306"/>
      <x:c r="D182" s="306"/>
      <x:c r="E182" s="306"/>
      <x:c r="F182" s="306"/>
      <x:c r="G182" s="306"/>
      <x:c r="H182" s="306"/>
      <x:c r="I182" s="306"/>
      <x:c r="J182" s="306"/>
      <x:c r="K182" s="306"/>
      <x:c r="L182" s="306"/>
      <x:c r="M182" s="306"/>
      <x:c r="N182" s="306"/>
      <x:c r="O182" s="306"/>
      <x:c r="P182" s="306"/>
      <x:c r="Q182" s="306"/>
    </x:row>
    <x:row r="183">
      <x:c r="A183" s="306"/>
      <x:c r="B183" s="306"/>
      <x:c r="C183" s="306"/>
      <x:c r="D183" s="306"/>
      <x:c r="E183" s="306"/>
      <x:c r="F183" s="306"/>
      <x:c r="G183" s="306"/>
      <x:c r="H183" s="306"/>
      <x:c r="I183" s="306"/>
      <x:c r="J183" s="306"/>
      <x:c r="K183" s="306"/>
      <x:c r="L183" s="306"/>
      <x:c r="M183" s="306"/>
      <x:c r="N183" s="306"/>
      <x:c r="O183" s="306"/>
      <x:c r="P183" s="306"/>
      <x:c r="Q183" s="306"/>
    </x:row>
    <x:row r="184">
      <x:c r="A184" s="306"/>
      <x:c r="B184" s="306"/>
      <x:c r="C184" s="306"/>
      <x:c r="D184" s="306"/>
      <x:c r="E184" s="306"/>
      <x:c r="F184" s="306"/>
      <x:c r="G184" s="306"/>
      <x:c r="H184" s="306"/>
      <x:c r="I184" s="306"/>
      <x:c r="J184" s="306"/>
      <x:c r="K184" s="306"/>
      <x:c r="L184" s="306"/>
      <x:c r="M184" s="306"/>
      <x:c r="N184" s="306"/>
      <x:c r="O184" s="306"/>
      <x:c r="P184" s="306"/>
      <x:c r="Q184" s="306"/>
    </x:row>
    <x:row r="185">
      <x:c r="A185" s="306"/>
      <x:c r="B185" s="306"/>
      <x:c r="C185" s="306"/>
      <x:c r="D185" s="306"/>
      <x:c r="E185" s="306"/>
      <x:c r="F185" s="306"/>
      <x:c r="G185" s="306"/>
      <x:c r="H185" s="306"/>
      <x:c r="I185" s="306"/>
      <x:c r="J185" s="306"/>
      <x:c r="K185" s="306"/>
      <x:c r="L185" s="306"/>
      <x:c r="M185" s="306"/>
      <x:c r="N185" s="306"/>
      <x:c r="O185" s="306"/>
      <x:c r="P185" s="306"/>
      <x:c r="Q185" s="306"/>
    </x:row>
    <x:row r="186">
      <x:c r="A186" s="306"/>
      <x:c r="B186" s="306"/>
      <x:c r="C186" s="306"/>
      <x:c r="D186" s="306"/>
      <x:c r="E186" s="306"/>
      <x:c r="F186" s="306"/>
      <x:c r="G186" s="306"/>
      <x:c r="H186" s="306"/>
      <x:c r="I186" s="306"/>
      <x:c r="J186" s="306"/>
      <x:c r="K186" s="306"/>
      <x:c r="L186" s="306"/>
      <x:c r="M186" s="306"/>
      <x:c r="N186" s="306"/>
      <x:c r="O186" s="306"/>
      <x:c r="P186" s="306"/>
      <x:c r="Q186" s="306"/>
    </x:row>
    <x:row r="187">
      <x:c r="A187" s="306"/>
      <x:c r="B187" s="306"/>
      <x:c r="C187" s="306"/>
      <x:c r="D187" s="306"/>
      <x:c r="E187" s="306"/>
      <x:c r="F187" s="306"/>
      <x:c r="G187" s="306"/>
      <x:c r="H187" s="306"/>
      <x:c r="I187" s="306"/>
      <x:c r="J187" s="306"/>
      <x:c r="K187" s="306"/>
      <x:c r="L187" s="306"/>
      <x:c r="M187" s="306"/>
      <x:c r="N187" s="306"/>
      <x:c r="O187" s="306"/>
      <x:c r="P187" s="306"/>
      <x:c r="Q187" s="306"/>
    </x:row>
    <x:row r="188">
      <x:c r="A188" s="306"/>
      <x:c r="B188" s="306"/>
      <x:c r="C188" s="306"/>
      <x:c r="D188" s="306"/>
      <x:c r="E188" s="306"/>
      <x:c r="F188" s="306"/>
      <x:c r="G188" s="306"/>
      <x:c r="H188" s="306"/>
      <x:c r="I188" s="306"/>
      <x:c r="J188" s="306"/>
      <x:c r="K188" s="306"/>
      <x:c r="L188" s="306"/>
      <x:c r="M188" s="306"/>
      <x:c r="N188" s="306"/>
      <x:c r="O188" s="306"/>
      <x:c r="P188" s="306"/>
      <x:c r="Q188" s="306"/>
    </x:row>
    <x:row r="189">
      <x:c r="A189" s="306"/>
      <x:c r="B189" s="306"/>
      <x:c r="C189" s="306"/>
      <x:c r="D189" s="306"/>
      <x:c r="E189" s="306"/>
      <x:c r="F189" s="306"/>
      <x:c r="G189" s="306"/>
      <x:c r="H189" s="306"/>
      <x:c r="I189" s="306"/>
      <x:c r="J189" s="306"/>
      <x:c r="K189" s="306"/>
      <x:c r="L189" s="306"/>
      <x:c r="M189" s="306"/>
      <x:c r="N189" s="306"/>
      <x:c r="O189" s="306"/>
      <x:c r="P189" s="306"/>
      <x:c r="Q189" s="306"/>
    </x:row>
    <x:row r="190">
      <x:c r="A190" s="306"/>
      <x:c r="B190" s="306"/>
      <x:c r="C190" s="306"/>
      <x:c r="D190" s="306"/>
      <x:c r="E190" s="306"/>
      <x:c r="F190" s="306"/>
      <x:c r="G190" s="306"/>
      <x:c r="H190" s="306"/>
      <x:c r="I190" s="306"/>
      <x:c r="J190" s="306"/>
      <x:c r="K190" s="306"/>
      <x:c r="L190" s="306"/>
      <x:c r="M190" s="306"/>
      <x:c r="N190" s="306"/>
      <x:c r="O190" s="306"/>
      <x:c r="P190" s="306"/>
      <x:c r="Q190" s="306"/>
    </x:row>
    <x:row r="191">
      <x:c r="A191" s="306"/>
      <x:c r="B191" s="306"/>
      <x:c r="C191" s="306"/>
      <x:c r="D191" s="306"/>
      <x:c r="E191" s="306"/>
      <x:c r="F191" s="306"/>
      <x:c r="G191" s="306"/>
      <x:c r="H191" s="306"/>
      <x:c r="I191" s="306"/>
      <x:c r="J191" s="306"/>
      <x:c r="K191" s="306"/>
      <x:c r="L191" s="306"/>
      <x:c r="M191" s="306"/>
      <x:c r="N191" s="306"/>
      <x:c r="O191" s="306"/>
      <x:c r="P191" s="306"/>
      <x:c r="Q191" s="306"/>
    </x:row>
    <x:row r="192">
      <x:c r="A192" s="306"/>
      <x:c r="B192" s="306"/>
      <x:c r="C192" s="306"/>
      <x:c r="D192" s="306"/>
      <x:c r="E192" s="306"/>
      <x:c r="F192" s="306"/>
      <x:c r="G192" s="306"/>
      <x:c r="H192" s="306"/>
      <x:c r="I192" s="306"/>
      <x:c r="J192" s="306"/>
      <x:c r="K192" s="306"/>
      <x:c r="L192" s="306"/>
      <x:c r="M192" s="306"/>
      <x:c r="N192" s="306"/>
      <x:c r="O192" s="306"/>
      <x:c r="P192" s="306"/>
      <x:c r="Q192" s="306"/>
    </x:row>
    <x:row r="193">
      <x:c r="A193" s="306"/>
      <x:c r="B193" s="306"/>
      <x:c r="C193" s="306"/>
      <x:c r="D193" s="306"/>
      <x:c r="E193" s="306"/>
      <x:c r="F193" s="306"/>
      <x:c r="G193" s="306"/>
      <x:c r="H193" s="306"/>
      <x:c r="I193" s="306"/>
      <x:c r="J193" s="306"/>
      <x:c r="K193" s="306"/>
      <x:c r="L193" s="306"/>
      <x:c r="M193" s="306"/>
      <x:c r="N193" s="306"/>
      <x:c r="O193" s="306"/>
      <x:c r="P193" s="306"/>
      <x:c r="Q193" s="306"/>
    </x:row>
    <x:row r="194">
      <x:c r="A194" s="306"/>
      <x:c r="B194" s="306"/>
      <x:c r="C194" s="306"/>
      <x:c r="D194" s="306"/>
      <x:c r="E194" s="306"/>
      <x:c r="F194" s="306"/>
      <x:c r="G194" s="306"/>
      <x:c r="H194" s="306"/>
      <x:c r="I194" s="306"/>
      <x:c r="J194" s="306"/>
      <x:c r="K194" s="306"/>
      <x:c r="L194" s="306"/>
      <x:c r="M194" s="306"/>
      <x:c r="N194" s="306"/>
      <x:c r="O194" s="306"/>
      <x:c r="P194" s="306"/>
      <x:c r="Q194" s="306"/>
    </x:row>
    <x:row r="195">
      <x:c r="A195" s="306"/>
      <x:c r="B195" s="306"/>
      <x:c r="C195" s="306"/>
      <x:c r="D195" s="306"/>
      <x:c r="E195" s="306"/>
      <x:c r="F195" s="306"/>
      <x:c r="G195" s="306"/>
      <x:c r="H195" s="306"/>
      <x:c r="I195" s="306"/>
      <x:c r="J195" s="306"/>
      <x:c r="K195" s="306"/>
      <x:c r="L195" s="306"/>
      <x:c r="M195" s="306"/>
      <x:c r="N195" s="306"/>
      <x:c r="O195" s="306"/>
      <x:c r="P195" s="306"/>
      <x:c r="Q195" s="306"/>
    </x:row>
    <x:row r="196">
      <x:c r="A196" s="306"/>
      <x:c r="B196" s="306"/>
      <x:c r="C196" s="306"/>
      <x:c r="D196" s="306"/>
      <x:c r="E196" s="306"/>
      <x:c r="F196" s="306"/>
      <x:c r="G196" s="306"/>
      <x:c r="H196" s="306"/>
      <x:c r="I196" s="306"/>
      <x:c r="J196" s="306"/>
      <x:c r="K196" s="306"/>
      <x:c r="L196" s="306"/>
      <x:c r="M196" s="306"/>
      <x:c r="N196" s="306"/>
      <x:c r="O196" s="306"/>
      <x:c r="P196" s="306"/>
      <x:c r="Q196" s="306"/>
    </x:row>
    <x:row r="197">
      <x:c r="A197" s="306"/>
      <x:c r="B197" s="306"/>
      <x:c r="C197" s="306"/>
      <x:c r="D197" s="306"/>
      <x:c r="E197" s="306"/>
      <x:c r="F197" s="306"/>
      <x:c r="G197" s="306"/>
      <x:c r="H197" s="306"/>
      <x:c r="I197" s="306"/>
      <x:c r="J197" s="306"/>
      <x:c r="K197" s="306"/>
      <x:c r="L197" s="306"/>
      <x:c r="M197" s="306"/>
      <x:c r="N197" s="306"/>
      <x:c r="O197" s="306"/>
      <x:c r="P197" s="306"/>
      <x:c r="Q197" s="306"/>
    </x:row>
    <x:row r="198">
      <x:c r="A198" s="306"/>
      <x:c r="B198" s="306"/>
      <x:c r="C198" s="306"/>
      <x:c r="D198" s="306"/>
      <x:c r="E198" s="306"/>
      <x:c r="F198" s="306"/>
      <x:c r="G198" s="306"/>
      <x:c r="H198" s="306"/>
      <x:c r="I198" s="306"/>
      <x:c r="J198" s="306"/>
      <x:c r="K198" s="306"/>
      <x:c r="L198" s="306"/>
      <x:c r="M198" s="306"/>
      <x:c r="N198" s="306"/>
      <x:c r="O198" s="306"/>
      <x:c r="P198" s="306"/>
      <x:c r="Q198" s="306"/>
    </x:row>
    <x:row r="199">
      <x:c r="A199" s="306"/>
      <x:c r="B199" s="306"/>
      <x:c r="C199" s="306"/>
      <x:c r="D199" s="306"/>
      <x:c r="E199" s="306"/>
      <x:c r="F199" s="306"/>
      <x:c r="G199" s="306"/>
      <x:c r="H199" s="306"/>
      <x:c r="I199" s="306"/>
      <x:c r="J199" s="306"/>
      <x:c r="K199" s="306"/>
      <x:c r="L199" s="306"/>
      <x:c r="M199" s="306"/>
      <x:c r="N199" s="306"/>
      <x:c r="O199" s="306"/>
      <x:c r="P199" s="306"/>
      <x:c r="Q199" s="306"/>
    </x:row>
    <x:row r="200">
      <x:c r="A200" s="306"/>
      <x:c r="B200" s="306"/>
      <x:c r="C200" s="306"/>
      <x:c r="D200" s="306"/>
      <x:c r="E200" s="306"/>
      <x:c r="F200" s="306"/>
      <x:c r="G200" s="306"/>
      <x:c r="H200" s="306"/>
      <x:c r="I200" s="306"/>
      <x:c r="J200" s="306"/>
      <x:c r="K200" s="306"/>
      <x:c r="L200" s="306"/>
      <x:c r="M200" s="306"/>
      <x:c r="N200" s="306"/>
      <x:c r="O200" s="306"/>
      <x:c r="P200" s="306"/>
      <x:c r="Q200" s="306"/>
    </x:row>
    <x:row r="201">
      <x:c r="A201" s="306"/>
      <x:c r="B201" s="306"/>
      <x:c r="C201" s="306"/>
      <x:c r="D201" s="306"/>
      <x:c r="E201" s="306"/>
      <x:c r="F201" s="306"/>
      <x:c r="G201" s="306"/>
      <x:c r="H201" s="306"/>
      <x:c r="I201" s="306"/>
      <x:c r="J201" s="306"/>
      <x:c r="K201" s="306"/>
      <x:c r="L201" s="306"/>
      <x:c r="M201" s="306"/>
      <x:c r="N201" s="306"/>
      <x:c r="O201" s="306"/>
      <x:c r="P201" s="306"/>
      <x:c r="Q201" s="306"/>
    </x:row>
    <x:row r="202">
      <x:c r="A202" s="306"/>
      <x:c r="B202" s="306"/>
      <x:c r="C202" s="306"/>
      <x:c r="D202" s="306"/>
      <x:c r="E202" s="306"/>
      <x:c r="F202" s="306"/>
      <x:c r="G202" s="306"/>
      <x:c r="H202" s="306"/>
      <x:c r="I202" s="306"/>
      <x:c r="J202" s="306"/>
      <x:c r="K202" s="306"/>
      <x:c r="L202" s="306"/>
      <x:c r="M202" s="306"/>
      <x:c r="N202" s="306"/>
      <x:c r="O202" s="306"/>
      <x:c r="P202" s="306"/>
      <x:c r="Q202" s="306"/>
    </x:row>
    <x:row r="203">
      <x:c r="A203" s="306"/>
      <x:c r="B203" s="306"/>
      <x:c r="C203" s="306"/>
      <x:c r="D203" s="306"/>
      <x:c r="E203" s="306"/>
      <x:c r="F203" s="306"/>
      <x:c r="G203" s="306"/>
      <x:c r="H203" s="306"/>
      <x:c r="I203" s="306"/>
      <x:c r="J203" s="306"/>
      <x:c r="K203" s="306"/>
      <x:c r="L203" s="306"/>
      <x:c r="M203" s="306"/>
      <x:c r="N203" s="306"/>
      <x:c r="O203" s="306"/>
      <x:c r="P203" s="306"/>
      <x:c r="Q203" s="306"/>
    </x:row>
    <x:row r="204">
      <x:c r="A204" s="306"/>
      <x:c r="B204" s="306"/>
      <x:c r="C204" s="306"/>
      <x:c r="D204" s="306"/>
      <x:c r="E204" s="306"/>
      <x:c r="F204" s="306"/>
      <x:c r="G204" s="306"/>
      <x:c r="H204" s="306"/>
      <x:c r="I204" s="306"/>
      <x:c r="J204" s="306"/>
      <x:c r="K204" s="306"/>
      <x:c r="L204" s="306"/>
      <x:c r="M204" s="306"/>
      <x:c r="N204" s="306"/>
      <x:c r="O204" s="306"/>
      <x:c r="P204" s="306"/>
      <x:c r="Q204" s="306"/>
    </x:row>
  </x:sheetData>
  <x:mergeCells>
    <x:mergeCell ref="A1:J2"/>
    <x:mergeCell ref="A3:J3"/>
    <x:mergeCell ref="A5:E5"/>
    <x:mergeCell ref="B6:E6"/>
    <x:mergeCell ref="B7:E7"/>
    <x:mergeCell ref="B8:E8"/>
    <x:mergeCell ref="B9:E9"/>
    <x:mergeCell ref="B10:E10"/>
    <x:mergeCell ref="B11:E11"/>
    <x:mergeCell ref="G5:J5"/>
    <x:mergeCell ref="A13:J13"/>
    <x:mergeCell ref="A20:F20"/>
    <x:mergeCell ref="A21:F24"/>
    <x:mergeCell ref="A26:F26"/>
    <x:mergeCell ref="A35:F38"/>
  </x:mergeCells>
  <x:conditionalFormatting sqref="B15:B17">
    <x:cfRule type="dataBar" priority="1">
      <x:dataBar>
        <x:cfvo type="min"/>
        <x:cfvo type="max"/>
        <x:color rgb="FF1565C0"/>
      </x:dataBar>
      <x:extLst>
        <x:ext xmlns:x14="http://schemas.microsoft.com/office/spreadsheetml/2009/9/main" uri="{B025F937-C7B1-47D3-B67F-A62EFF666E3E}">
          <x14:id>{600D8BF7-F2AF-0253-163C-A815864614EB}</x14:id>
        </x:ext>
      </x:extLst>
    </x:cfRule>
  </x:conditionalFormatting>
  <x:conditionalFormatting sqref="E16:E16">
    <x:cfRule type="dataBar" priority="2">
      <x:dataBar>
        <x:cfvo type="min"/>
        <x:cfvo type="max"/>
        <x:color rgb="FF2E7D32"/>
      </x:dataBar>
      <x:extLst>
        <x:ext xmlns:x14="http://schemas.microsoft.com/office/spreadsheetml/2009/9/main" uri="{B025F937-C7B1-47D3-B67F-A62EFF666E3E}">
          <x14:id>{86FAF6D9-4371-368C-C146-34825F9CF4D2}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dbb128439064b0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00D8BF7-F2AF-0253-163C-A815864614EB}">
            <x14:dataBar gradient="1">
              <x14:cfvo type="min"/>
              <x14:cfvo type="max"/>
              <x14:fillColor rgb="FF1565C0"/>
            </x14:dataBar>
          </x14:cfRule>
          <xm:sqref>B15:B17</xm:sqref>
        </x14:conditionalFormatting>
        <x14:conditionalFormatting>
          <x14:cfRule type="dataBar" priority="2" id="{86FAF6D9-4371-368C-C146-34825F9CF4D2}">
            <x14:dataBar gradient="1">
              <x14:cfvo type="min"/>
              <x14:cfvo type="max"/>
              <x14:fillColor rgb="FF2E7D32"/>
            </x14:dataBar>
          </x14:cfRule>
          <xm:sqref>E16:E16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37" hidden="0" customWidth="1"/>
    <x:col min="4" max="4" width="37" hidden="0" customWidth="1"/>
    <x:col min="5" max="5" width="31" hidden="0" customWidth="1"/>
    <x:col min="6" max="6" width="31" hidden="0" customWidth="1"/>
    <x:col min="7" max="7" width="31" hidden="0" customWidth="1"/>
    <x:col min="8" max="8" width="13" hidden="0" customWidth="1"/>
    <x:col min="9" max="9" width="14" hidden="0" customWidth="1"/>
    <x:col min="10" max="10" width="10" hidden="0" customWidth="1"/>
  </x:cols>
  <x:sheetData>
    <x:row r="1" ht="34" customHeight="1">
      <x:c r="A1" s="389" t="str">
        <x:v>30-DAY DAILY TRAINING PLAN</x:v>
      </x:c>
      <x:c r="B1" s="389"/>
      <x:c r="C1" s="389"/>
      <x:c r="D1" s="389"/>
      <x:c r="E1" s="389"/>
      <x:c r="F1" s="389"/>
      <x:c r="G1" s="389"/>
      <x:c r="H1" s="389"/>
      <x:c r="I1" s="389"/>
      <x:c r="J1" s="389"/>
      <x:c r="K1" s="306"/>
      <x:c r="L1" s="306"/>
      <x:c r="M1" s="306"/>
      <x:c r="N1" s="306"/>
      <x:c r="O1" s="306"/>
      <x:c r="P1" s="306"/>
      <x:c r="Q1" s="306"/>
    </x:row>
    <x:row r="2" ht="34" customHeight="1">
      <x:c r="A2" s="389"/>
      <x:c r="B2" s="389"/>
      <x:c r="C2" s="389"/>
      <x:c r="D2" s="389"/>
      <x:c r="E2" s="389"/>
      <x:c r="F2" s="389"/>
      <x:c r="G2" s="389"/>
      <x:c r="H2" s="389"/>
      <x:c r="I2" s="389"/>
      <x:c r="J2" s="389"/>
      <x:c r="K2" s="306"/>
      <x:c r="L2" s="306"/>
      <x:c r="M2" s="306"/>
      <x:c r="N2" s="306"/>
      <x:c r="O2" s="306"/>
      <x:c r="P2" s="306"/>
      <x:c r="Q2" s="306"/>
    </x:row>
    <x:row r="3">
      <x:c r="A3" s="390" t="str">
        <x:v>Complete the days in order. Minimum Win is enough on low-energy days; Stretch Goal is optional.</x:v>
      </x:c>
      <x:c r="B3" s="390"/>
      <x:c r="C3" s="390"/>
      <x:c r="D3" s="390"/>
      <x:c r="E3" s="390"/>
      <x:c r="F3" s="390"/>
      <x:c r="G3" s="390"/>
      <x:c r="H3" s="390"/>
      <x:c r="I3" s="390"/>
      <x:c r="J3" s="390"/>
      <x:c r="K3" s="306"/>
      <x:c r="L3" s="306"/>
      <x:c r="M3" s="306"/>
      <x:c r="N3" s="306"/>
      <x:c r="O3" s="306"/>
      <x:c r="P3" s="306"/>
      <x:c r="Q3" s="306"/>
    </x:row>
    <x:row r="4">
      <x:c r="A4" s="332" t="str">
        <x:v>Day</x:v>
      </x:c>
      <x:c r="B4" s="333" t="str">
        <x:v>Main Focus</x:v>
      </x:c>
      <x:c r="C4" s="333" t="str">
        <x:v>Vanilla Goal</x:v>
      </x:c>
      <x:c r="D4" s="333" t="str">
        <x:v>Randomizer Goal</x:v>
      </x:c>
      <x:c r="E4" s="333" t="str">
        <x:v>Focused Drill</x:v>
      </x:c>
      <x:c r="F4" s="333" t="str">
        <x:v>Minimum Win</x:v>
      </x:c>
      <x:c r="G4" s="333" t="str">
        <x:v>Stretch Goal</x:v>
      </x:c>
      <x:c r="H4" s="333" t="str">
        <x:v>Planned Minutes</x:v>
      </x:c>
      <x:c r="I4" s="333" t="str">
        <x:v>Status</x:v>
      </x:c>
      <x:c r="J4" s="334" t="str">
        <x:v>Score</x:v>
      </x:c>
      <x:c r="K4" s="306"/>
      <x:c r="L4" s="306"/>
      <x:c r="M4" s="306"/>
      <x:c r="N4" s="306"/>
      <x:c r="O4" s="306"/>
      <x:c r="P4" s="306"/>
      <x:c r="Q4" s="306"/>
    </x:row>
    <x:row r="5" ht="62" customHeight="1">
      <x:c r="A5" s="311" t="n">
        <x:v>1</x:v>
      </x:c>
      <x:c r="B5" s="312" t="str">
        <x:v>Establish a baseline</x:v>
      </x:c>
      <x:c r="C5" s="312" t="str">
        <x:v>Play one full run under your normal rules. Record time, deaths, and biggest loss.</x:v>
      </x:c>
      <x:c r="D5" s="312" t="str">
        <x:v>Start one seed with your normal settings. Finish if practical; otherwise record where it ended.</x:v>
      </x:c>
      <x:c r="E5" s="312" t="str">
        <x:v>No special drill—observe honestly.</x:v>
      </x:c>
      <x:c r="F5" s="312" t="str">
        <x:v>Log one complete attempt.</x:v>
      </x:c>
      <x:c r="G5" s="312" t="str">
        <x:v>Finish both modes and write three weaknesses.</x:v>
      </x:c>
      <x:c r="H5" s="312" t="n">
        <x:v>60</x:v>
      </x:c>
      <x:c r="I5" s="312" t="str">
        <x:v>Not Started</x:v>
      </x:c>
      <x:c r="J5" s="391" t="n">
        <x:f>IF(I5="Done",1,IF(I5="Partial",0.5,0))</x:f>
        <x:v>0</x:v>
      </x:c>
      <x:c r="K5" s="306"/>
      <x:c r="L5" s="306"/>
      <x:c r="M5" s="306"/>
      <x:c r="N5" s="306"/>
      <x:c r="O5" s="306"/>
      <x:c r="P5" s="306"/>
      <x:c r="Q5" s="306"/>
    </x:row>
    <x:row r="6" ht="62" customHeight="1">
      <x:c r="A6" s="317" t="n">
        <x:v>2</x:v>
      </x:c>
      <x:c r="B6" s="318" t="str">
        <x:v>Running and stopping control</x:v>
      </x:c>
      <x:c r="C6" s="318" t="str">
        <x:v>Practice World 1 levels while staying in control at full speed.</x:v>
      </x:c>
      <x:c r="D6" s="318" t="str">
        <x:v>In a seed, choose safe speed over blind rushing in unfamiliar rooms.</x:v>
      </x:c>
      <x:c r="E6" s="318" t="str">
        <x:v>10 repetitions: run, stop on a chosen tile, then jump.</x:v>
      </x:c>
      <x:c r="F6" s="318" t="str">
        <x:v>15 focused minutes.</x:v>
      </x:c>
      <x:c r="G6" s="318" t="str">
        <x:v>Clear three levels without an avoidable hit.</x:v>
      </x:c>
      <x:c r="H6" s="318" t="n">
        <x:v>45</x:v>
      </x:c>
      <x:c r="I6" s="318" t="str">
        <x:v>Not Started</x:v>
      </x:c>
      <x:c r="J6" s="392" t="n">
        <x:f>IF(I6="Done",1,IF(I6="Partial",0.5,0))</x:f>
        <x:v>0</x:v>
      </x:c>
      <x:c r="K6" s="306"/>
      <x:c r="L6" s="306"/>
      <x:c r="M6" s="306"/>
      <x:c r="N6" s="306"/>
      <x:c r="O6" s="306"/>
      <x:c r="P6" s="306"/>
      <x:c r="Q6" s="306"/>
    </x:row>
    <x:row r="7" ht="62" customHeight="1">
      <x:c r="A7" s="317" t="n">
        <x:v>3</x:v>
      </x:c>
      <x:c r="B7" s="318" t="str">
        <x:v>Jump selection</x:v>
      </x:c>
      <x:c r="C7" s="318" t="str">
        <x:v>Practice choosing short, medium, and full jumps deliberately.</x:v>
      </x:c>
      <x:c r="D7" s="318" t="str">
        <x:v>Pause mentally before unfamiliar gaps and choose the smallest safe jump.</x:v>
      </x:c>
      <x:c r="E7" s="318" t="str">
        <x:v>Repeat one platform section 10 times without missing.</x:v>
      </x:c>
      <x:c r="F7" s="318" t="str">
        <x:v>Complete five clean jumps in a row.</x:v>
      </x:c>
      <x:c r="G7" s="318" t="str">
        <x:v>Clear a full world with no missed platform.</x:v>
      </x:c>
      <x:c r="H7" s="318" t="n">
        <x:v>45</x:v>
      </x:c>
      <x:c r="I7" s="318" t="str">
        <x:v>Not Started</x:v>
      </x:c>
      <x:c r="J7" s="392" t="n">
        <x:f>IF(I7="Done",1,IF(I7="Partial",0.5,0))</x:f>
        <x:v>0</x:v>
      </x:c>
      <x:c r="K7" s="306"/>
      <x:c r="L7" s="306"/>
      <x:c r="M7" s="306"/>
      <x:c r="N7" s="306"/>
      <x:c r="O7" s="306"/>
      <x:c r="P7" s="306"/>
      <x:c r="Q7" s="306"/>
    </x:row>
    <x:row r="8" ht="62" customHeight="1">
      <x:c r="A8" s="317" t="n">
        <x:v>4</x:v>
      </x:c>
      <x:c r="B8" s="318" t="str">
        <x:v>Randomizer baseline decisions</x:v>
      </x:c>
      <x:c r="C8" s="318" t="str">
        <x:v>Play 20 minutes of vanilla level practice.</x:v>
      </x:c>
      <x:c r="D8" s="318" t="str">
        <x:v>Play one seed and note every major route or item decision.</x:v>
      </x:c>
      <x:c r="E8" s="318" t="str">
        <x:v>Before entering each level, say the goal: survive, scout, or finish fast.</x:v>
      </x:c>
      <x:c r="F8" s="318" t="str">
        <x:v>Record five decisions.</x:v>
      </x:c>
      <x:c r="G8" s="318" t="str">
        <x:v>Finish the seed without resetting after a bad start.</x:v>
      </x:c>
      <x:c r="H8" s="318" t="n">
        <x:v>60</x:v>
      </x:c>
      <x:c r="I8" s="318" t="str">
        <x:v>Not Started</x:v>
      </x:c>
      <x:c r="J8" s="392" t="n">
        <x:f>IF(I8="Done",1,IF(I8="Partial",0.5,0))</x:f>
        <x:v>0</x:v>
      </x:c>
      <x:c r="K8" s="306"/>
      <x:c r="L8" s="306"/>
      <x:c r="M8" s="306"/>
      <x:c r="N8" s="306"/>
      <x:c r="O8" s="306"/>
      <x:c r="P8" s="306"/>
      <x:c r="Q8" s="306"/>
    </x:row>
    <x:row r="9" ht="62" customHeight="1">
      <x:c r="A9" s="317" t="n">
        <x:v>5</x:v>
      </x:c>
      <x:c r="B9" s="318" t="str">
        <x:v>Common enemy control</x:v>
      </x:c>
      <x:c r="C9" s="318" t="str">
        <x:v>Practice stomps, tail attacks, fireballs, and safe bypasses.</x:v>
      </x:c>
      <x:c r="D9" s="318" t="str">
        <x:v>Avoid spending valuable items on enemies that can be safely skipped.</x:v>
      </x:c>
      <x:c r="E9" s="318" t="str">
        <x:v>Choose one enemy type that hits you often and repeat its encounter.</x:v>
      </x:c>
      <x:c r="F9" s="318" t="str">
        <x:v>Defeat or bypass 20 enemies cleanly.</x:v>
      </x:c>
      <x:c r="G9" s="318" t="str">
        <x:v>Finish three levels without taking damage from enemies.</x:v>
      </x:c>
      <x:c r="H9" s="318" t="n">
        <x:v>45</x:v>
      </x:c>
      <x:c r="I9" s="318" t="str">
        <x:v>Not Started</x:v>
      </x:c>
      <x:c r="J9" s="392" t="n">
        <x:f>IF(I9="Done",1,IF(I9="Partial",0.5,0))</x:f>
        <x:v>0</x:v>
      </x:c>
      <x:c r="K9" s="306"/>
      <x:c r="L9" s="306"/>
      <x:c r="M9" s="306"/>
      <x:c r="N9" s="306"/>
      <x:c r="O9" s="306"/>
      <x:c r="P9" s="306"/>
      <x:c r="Q9" s="306"/>
    </x:row>
    <x:row r="10" ht="62" customHeight="1">
      <x:c r="A10" s="317" t="n">
        <x:v>6</x:v>
      </x:c>
      <x:c r="B10" s="318" t="str">
        <x:v>Power-up conservation</x:v>
      </x:c>
      <x:c r="C10" s="318" t="str">
        <x:v>Try to carry a useful power-up through an entire world.</x:v>
      </x:c>
      <x:c r="D10" s="318" t="str">
        <x:v>Track every item used and whether it was necessary.</x:v>
      </x:c>
      <x:c r="E10" s="318" t="str">
        <x:v>Replay one level using no reserve item.</x:v>
      </x:c>
      <x:c r="F10" s="318" t="str">
        <x:v>Finish one world with a reserve item intact.</x:v>
      </x:c>
      <x:c r="G10" s="318" t="str">
        <x:v>Finish with two useful items saved.</x:v>
      </x:c>
      <x:c r="H10" s="318" t="n">
        <x:v>45</x:v>
      </x:c>
      <x:c r="I10" s="318" t="str">
        <x:v>Not Started</x:v>
      </x:c>
      <x:c r="J10" s="392" t="n">
        <x:f>IF(I10="Done",1,IF(I10="Partial",0.5,0))</x:f>
        <x:v>0</x:v>
      </x:c>
      <x:c r="K10" s="306"/>
      <x:c r="L10" s="306"/>
      <x:c r="M10" s="306"/>
      <x:c r="N10" s="306"/>
      <x:c r="O10" s="306"/>
      <x:c r="P10" s="306"/>
      <x:c r="Q10" s="306"/>
    </x:row>
    <x:row r="11" ht="62" customHeight="1">
      <x:c r="A11" s="317" t="n">
        <x:v>7</x:v>
      </x:c>
      <x:c r="B11" s="318" t="str">
        <x:v>Week 1 test</x:v>
      </x:c>
      <x:c r="C11" s="318" t="str">
        <x:v>Play a full run and compare it with Day 1.</x:v>
      </x:c>
      <x:c r="D11" s="318" t="str">
        <x:v>Play or finish a seed, then review your notes.</x:v>
      </x:c>
      <x:c r="E11" s="318" t="str">
        <x:v>Warm up for 10 minutes on your biggest weakness.</x:v>
      </x:c>
      <x:c r="F11" s="318" t="str">
        <x:v>Complete one benchmark attempt.</x:v>
      </x:c>
      <x:c r="G11" s="318" t="str">
        <x:v>Improve one metric: time, deaths, or completion.</x:v>
      </x:c>
      <x:c r="H11" s="318" t="n">
        <x:v>75</x:v>
      </x:c>
      <x:c r="I11" s="318" t="str">
        <x:v>Not Started</x:v>
      </x:c>
      <x:c r="J11" s="392" t="n">
        <x:f>IF(I11="Done",1,IF(I11="Partial",0.5,0))</x:f>
        <x:v>0</x:v>
      </x:c>
      <x:c r="K11" s="306"/>
      <x:c r="L11" s="306"/>
      <x:c r="M11" s="306"/>
      <x:c r="N11" s="306"/>
      <x:c r="O11" s="306"/>
      <x:c r="P11" s="306"/>
      <x:c r="Q11" s="306"/>
    </x:row>
    <x:row r="12" ht="62" customHeight="1">
      <x:c r="A12" s="317" t="n">
        <x:v>8</x:v>
      </x:c>
      <x:c r="B12" s="318" t="str">
        <x:v>P-Speed buildup</x:v>
      </x:c>
      <x:c r="C12" s="318" t="str">
        <x:v>Practice building and maintaining P-Speed in safe levels.</x:v>
      </x:c>
      <x:c r="D12" s="318" t="str">
        <x:v>Recognize when P-Speed is worth the risk in an unfamiliar layout.</x:v>
      </x:c>
      <x:c r="E12" s="318" t="str">
        <x:v>Build P-Speed five times without colliding.</x:v>
      </x:c>
      <x:c r="F12" s="318" t="str">
        <x:v>Three successful buildups.</x:v>
      </x:c>
      <x:c r="G12" s="318" t="str">
        <x:v>Use P-Speed productively in three levels.</x:v>
      </x:c>
      <x:c r="H12" s="318" t="n">
        <x:v>45</x:v>
      </x:c>
      <x:c r="I12" s="318" t="str">
        <x:v>Not Started</x:v>
      </x:c>
      <x:c r="J12" s="392" t="n">
        <x:f>IF(I12="Done",1,IF(I12="Partial",0.5,0))</x:f>
        <x:v>0</x:v>
      </x:c>
      <x:c r="K12" s="306"/>
      <x:c r="L12" s="306"/>
      <x:c r="M12" s="306"/>
      <x:c r="N12" s="306"/>
      <x:c r="O12" s="306"/>
      <x:c r="P12" s="306"/>
      <x:c r="Q12" s="306"/>
    </x:row>
    <x:row r="13" ht="62" customHeight="1">
      <x:c r="A13" s="317" t="n">
        <x:v>9</x:v>
      </x:c>
      <x:c r="B13" s="318" t="str">
        <x:v>Momentum and landing</x:v>
      </x:c>
      <x:c r="C13" s="318" t="str">
        <x:v>Practice landing near platform edges without sliding off.</x:v>
      </x:c>
      <x:c r="D13" s="318" t="str">
        <x:v>Use controlled landings when the next section is unknown.</x:v>
      </x:c>
      <x:c r="E13" s="318" t="str">
        <x:v>Repeat one running-jump landing 10 times.</x:v>
      </x:c>
      <x:c r="F13" s="318" t="str">
        <x:v>Five clean landings.</x:v>
      </x:c>
      <x:c r="G13" s="318" t="str">
        <x:v>Ten clean landings in a row.</x:v>
      </x:c>
      <x:c r="H13" s="318" t="n">
        <x:v>45</x:v>
      </x:c>
      <x:c r="I13" s="318" t="str">
        <x:v>Not Started</x:v>
      </x:c>
      <x:c r="J13" s="392" t="n">
        <x:f>IF(I13="Done",1,IF(I13="Partial",0.5,0))</x:f>
        <x:v>0</x:v>
      </x:c>
      <x:c r="K13" s="306"/>
      <x:c r="L13" s="306"/>
      <x:c r="M13" s="306"/>
      <x:c r="N13" s="306"/>
      <x:c r="O13" s="306"/>
      <x:c r="P13" s="306"/>
      <x:c r="Q13" s="306"/>
    </x:row>
    <x:row r="14" ht="62" customHeight="1">
      <x:c r="A14" s="317" t="n">
        <x:v>10</x:v>
      </x:c>
      <x:c r="B14" s="318" t="str">
        <x:v>Fortresses and Boom Boom</x:v>
      </x:c>
      <x:c r="C14" s="318" t="str">
        <x:v>Practice a fortress or Boom Boom fight that costs you time.</x:v>
      </x:c>
      <x:c r="D14" s="318" t="str">
        <x:v>Enter fortresses with a plan for power-up use and damage recovery.</x:v>
      </x:c>
      <x:c r="E14" s="318" t="str">
        <x:v>Repeat the boss fight until you win three times in a row.</x:v>
      </x:c>
      <x:c r="F14" s="318" t="str">
        <x:v>Three wins.</x:v>
      </x:c>
      <x:c r="G14" s="318" t="str">
        <x:v>Five wins with no damage.</x:v>
      </x:c>
      <x:c r="H14" s="318" t="n">
        <x:v>45</x:v>
      </x:c>
      <x:c r="I14" s="318" t="str">
        <x:v>Not Started</x:v>
      </x:c>
      <x:c r="J14" s="392" t="n">
        <x:f>IF(I14="Done",1,IF(I14="Partial",0.5,0))</x:f>
        <x:v>0</x:v>
      </x:c>
      <x:c r="K14" s="306"/>
      <x:c r="L14" s="306"/>
      <x:c r="M14" s="306"/>
      <x:c r="N14" s="306"/>
      <x:c r="O14" s="306"/>
      <x:c r="P14" s="306"/>
      <x:c r="Q14" s="306"/>
    </x:row>
    <x:row r="15" ht="62" customHeight="1">
      <x:c r="A15" s="317" t="n">
        <x:v>11</x:v>
      </x:c>
      <x:c r="B15" s="318" t="str">
        <x:v>Randomizer route discipline</x:v>
      </x:c>
      <x:c r="C15" s="318" t="str">
        <x:v>Play a short vanilla segment.</x:v>
      </x:c>
      <x:c r="D15" s="318" t="str">
        <x:v>Run one seed using a simple rule: finish the current safe route before changing plans.</x:v>
      </x:c>
      <x:c r="E15" s="318" t="str">
        <x:v>Write your planned next two actions before moving on the map.</x:v>
      </x:c>
      <x:c r="F15" s="318" t="str">
        <x:v>Avoid one unnecessary backtrack.</x:v>
      </x:c>
      <x:c r="G15" s="318" t="str">
        <x:v>Finish with three or fewer major backtracks.</x:v>
      </x:c>
      <x:c r="H15" s="318" t="n">
        <x:v>60</x:v>
      </x:c>
      <x:c r="I15" s="318" t="str">
        <x:v>Not Started</x:v>
      </x:c>
      <x:c r="J15" s="392" t="n">
        <x:f>IF(I15="Done",1,IF(I15="Partial",0.5,0))</x:f>
        <x:v>0</x:v>
      </x:c>
      <x:c r="K15" s="306"/>
      <x:c r="L15" s="306"/>
      <x:c r="M15" s="306"/>
      <x:c r="N15" s="306"/>
      <x:c r="O15" s="306"/>
      <x:c r="P15" s="306"/>
      <x:c r="Q15" s="306"/>
    </x:row>
    <x:row r="16" ht="62" customHeight="1">
      <x:c r="A16" s="317" t="n">
        <x:v>12</x:v>
      </x:c>
      <x:c r="B16" s="318" t="str">
        <x:v>Water, ice, and unusual physics</x:v>
      </x:c>
      <x:c r="C16" s="318" t="str">
        <x:v>Practice one water level and one slippery level.</x:v>
      </x:c>
      <x:c r="D16" s="318" t="str">
        <x:v>Slow down immediately when physics or level type changes.</x:v>
      </x:c>
      <x:c r="E16" s="318" t="str">
        <x:v>Repeat the hardest section until it is predictable.</x:v>
      </x:c>
      <x:c r="F16" s="318" t="str">
        <x:v>Clear both practice levels.</x:v>
      </x:c>
      <x:c r="G16" s="318" t="str">
        <x:v>Clear both without damage.</x:v>
      </x:c>
      <x:c r="H16" s="318" t="n">
        <x:v>45</x:v>
      </x:c>
      <x:c r="I16" s="318" t="str">
        <x:v>Not Started</x:v>
      </x:c>
      <x:c r="J16" s="392" t="n">
        <x:f>IF(I16="Done",1,IF(I16="Partial",0.5,0))</x:f>
        <x:v>0</x:v>
      </x:c>
      <x:c r="K16" s="306"/>
      <x:c r="L16" s="306"/>
      <x:c r="M16" s="306"/>
      <x:c r="N16" s="306"/>
      <x:c r="O16" s="306"/>
      <x:c r="P16" s="306"/>
      <x:c r="Q16" s="306"/>
    </x:row>
    <x:row r="17" ht="62" customHeight="1">
      <x:c r="A17" s="317" t="n">
        <x:v>13</x:v>
      </x:c>
      <x:c r="B17" s="318" t="str">
        <x:v>Recovery after mistakes</x:v>
      </x:c>
      <x:c r="C17" s="318" t="str">
        <x:v>Continue a run after an early death instead of resetting.</x:v>
      </x:c>
      <x:c r="D17" s="318" t="str">
        <x:v>Continue a seed after losing a valuable power-up.</x:v>
      </x:c>
      <x:c r="E17" s="318" t="str">
        <x:v>Deliberately start a level small and practice safe recovery.</x:v>
      </x:c>
      <x:c r="F17" s="318" t="str">
        <x:v>Finish 20 minutes without resetting.</x:v>
      </x:c>
      <x:c r="G17" s="318" t="str">
        <x:v>Complete a full no-reset attempt.</x:v>
      </x:c>
      <x:c r="H17" s="318" t="n">
        <x:v>60</x:v>
      </x:c>
      <x:c r="I17" s="318" t="str">
        <x:v>Not Started</x:v>
      </x:c>
      <x:c r="J17" s="392" t="n">
        <x:f>IF(I17="Done",1,IF(I17="Partial",0.5,0))</x:f>
        <x:v>0</x:v>
      </x:c>
      <x:c r="K17" s="306"/>
      <x:c r="L17" s="306"/>
      <x:c r="M17" s="306"/>
      <x:c r="N17" s="306"/>
      <x:c r="O17" s="306"/>
      <x:c r="P17" s="306"/>
      <x:c r="Q17" s="306"/>
    </x:row>
    <x:row r="18" ht="62" customHeight="1">
      <x:c r="A18" s="317" t="n">
        <x:v>14</x:v>
      </x:c>
      <x:c r="B18" s="318" t="str">
        <x:v>Week 2 test</x:v>
      </x:c>
      <x:c r="C18" s="318" t="str">
        <x:v>Play a full vanilla run. Focus on clean movement, not forcing a PB.</x:v>
      </x:c>
      <x:c r="D18" s="318" t="str">
        <x:v>Play one randomizer seed with written route notes.</x:v>
      </x:c>
      <x:c r="E18" s="318" t="str">
        <x:v>10-minute P-Speed and boss warm-up.</x:v>
      </x:c>
      <x:c r="F18" s="318" t="str">
        <x:v>Complete one full attempt.</x:v>
      </x:c>
      <x:c r="G18" s="318" t="str">
        <x:v>Beat either your Day 7 time or death count.</x:v>
      </x:c>
      <x:c r="H18" s="318" t="n">
        <x:v>75</x:v>
      </x:c>
      <x:c r="I18" s="318" t="str">
        <x:v>Not Started</x:v>
      </x:c>
      <x:c r="J18" s="392" t="n">
        <x:f>IF(I18="Done",1,IF(I18="Partial",0.5,0))</x:f>
        <x:v>0</x:v>
      </x:c>
      <x:c r="K18" s="306"/>
      <x:c r="L18" s="306"/>
      <x:c r="M18" s="306"/>
      <x:c r="N18" s="306"/>
      <x:c r="O18" s="306"/>
      <x:c r="P18" s="306"/>
      <x:c r="Q18" s="306"/>
    </x:row>
    <x:row r="19" ht="62" customHeight="1">
      <x:c r="A19" s="317" t="n">
        <x:v>15</x:v>
      </x:c>
      <x:c r="B19" s="318" t="str">
        <x:v>Worlds 1–2 consistency</x:v>
      </x:c>
      <x:c r="C19" s="318" t="str">
        <x:v>Practice your least consistent levels in Worlds 1–2.</x:v>
      </x:c>
      <x:c r="D19" s="318" t="str">
        <x:v>When these levels appear randomized, use your known safe strategy.</x:v>
      </x:c>
      <x:c r="E19" s="318" t="str">
        <x:v>Replay each selected level three times.</x:v>
      </x:c>
      <x:c r="F19" s="318" t="str">
        <x:v>Six clean level clears.</x:v>
      </x:c>
      <x:c r="G19" s="318" t="str">
        <x:v>Clear all selected levels without dying.</x:v>
      </x:c>
      <x:c r="H19" s="318" t="n">
        <x:v>50</x:v>
      </x:c>
      <x:c r="I19" s="318" t="str">
        <x:v>Not Started</x:v>
      </x:c>
      <x:c r="J19" s="392" t="n">
        <x:f>IF(I19="Done",1,IF(I19="Partial",0.5,0))</x:f>
        <x:v>0</x:v>
      </x:c>
      <x:c r="K19" s="306"/>
      <x:c r="L19" s="306"/>
      <x:c r="M19" s="306"/>
      <x:c r="N19" s="306"/>
      <x:c r="O19" s="306"/>
      <x:c r="P19" s="306"/>
      <x:c r="Q19" s="306"/>
    </x:row>
    <x:row r="20" ht="62" customHeight="1">
      <x:c r="A20" s="317" t="n">
        <x:v>16</x:v>
      </x:c>
      <x:c r="B20" s="318" t="str">
        <x:v>Worlds 3–4 consistency</x:v>
      </x:c>
      <x:c r="C20" s="318" t="str">
        <x:v>Practice your least consistent levels in Worlds 3–4.</x:v>
      </x:c>
      <x:c r="D20" s="318" t="str">
        <x:v>Identify levels where a specific power-up changes the safest strategy.</x:v>
      </x:c>
      <x:c r="E20" s="318" t="str">
        <x:v>Replay each selected level three times.</x:v>
      </x:c>
      <x:c r="F20" s="318" t="str">
        <x:v>Six clean level clears.</x:v>
      </x:c>
      <x:c r="G20" s="318" t="str">
        <x:v>Record the fastest safe strategy for each.</x:v>
      </x:c>
      <x:c r="H20" s="318" t="n">
        <x:v>50</x:v>
      </x:c>
      <x:c r="I20" s="318" t="str">
        <x:v>Not Started</x:v>
      </x:c>
      <x:c r="J20" s="392" t="n">
        <x:f>IF(I20="Done",1,IF(I20="Partial",0.5,0))</x:f>
        <x:v>0</x:v>
      </x:c>
      <x:c r="K20" s="306"/>
      <x:c r="L20" s="306"/>
      <x:c r="M20" s="306"/>
      <x:c r="N20" s="306"/>
      <x:c r="O20" s="306"/>
      <x:c r="P20" s="306"/>
      <x:c r="Q20" s="306"/>
    </x:row>
    <x:row r="21" ht="62" customHeight="1">
      <x:c r="A21" s="317" t="n">
        <x:v>17</x:v>
      </x:c>
      <x:c r="B21" s="318" t="str">
        <x:v>Worlds 5–6 consistency</x:v>
      </x:c>
      <x:c r="C21" s="318" t="str">
        <x:v>Practice your least consistent levels in Worlds 5–6.</x:v>
      </x:c>
      <x:c r="D21" s="318" t="str">
        <x:v>Practice adapting when a randomized seed gives weak inventory.</x:v>
      </x:c>
      <x:c r="E21" s="318" t="str">
        <x:v>Replay each selected level three times.</x:v>
      </x:c>
      <x:c r="F21" s="318" t="str">
        <x:v>Six clean level clears.</x:v>
      </x:c>
      <x:c r="G21" s="318" t="str">
        <x:v>Finish each with at least one power-up.</x:v>
      </x:c>
      <x:c r="H21" s="318" t="n">
        <x:v>50</x:v>
      </x:c>
      <x:c r="I21" s="318" t="str">
        <x:v>Not Started</x:v>
      </x:c>
      <x:c r="J21" s="392" t="n">
        <x:f>IF(I21="Done",1,IF(I21="Partial",0.5,0))</x:f>
        <x:v>0</x:v>
      </x:c>
      <x:c r="K21" s="306"/>
      <x:c r="L21" s="306"/>
      <x:c r="M21" s="306"/>
      <x:c r="N21" s="306"/>
      <x:c r="O21" s="306"/>
      <x:c r="P21" s="306"/>
      <x:c r="Q21" s="306"/>
    </x:row>
    <x:row r="22" ht="62" customHeight="1">
      <x:c r="A22" s="317" t="n">
        <x:v>18</x:v>
      </x:c>
      <x:c r="B22" s="318" t="str">
        <x:v>Worlds 7–8 survival</x:v>
      </x:c>
      <x:c r="C22" s="318" t="str">
        <x:v>Practice one late-game level and one World 8 vehicle/fortress stage.</x:v>
      </x:c>
      <x:c r="D22" s="318" t="str">
        <x:v>Treat late-game randomized levels as survival first, speed second.</x:v>
      </x:c>
      <x:c r="E22" s="318" t="str">
        <x:v>Repeat the hardest checkpoint or section.</x:v>
      </x:c>
      <x:c r="F22" s="318" t="str">
        <x:v>Clear both selected levels.</x:v>
      </x:c>
      <x:c r="G22" s="318" t="str">
        <x:v>Clear both twice without a death.</x:v>
      </x:c>
      <x:c r="H22" s="318" t="n">
        <x:v>60</x:v>
      </x:c>
      <x:c r="I22" s="318" t="str">
        <x:v>Not Started</x:v>
      </x:c>
      <x:c r="J22" s="392" t="n">
        <x:f>IF(I22="Done",1,IF(I22="Partial",0.5,0))</x:f>
        <x:v>0</x:v>
      </x:c>
      <x:c r="K22" s="306"/>
      <x:c r="L22" s="306"/>
      <x:c r="M22" s="306"/>
      <x:c r="N22" s="306"/>
      <x:c r="O22" s="306"/>
      <x:c r="P22" s="306"/>
      <x:c r="Q22" s="306"/>
    </x:row>
    <x:row r="23" ht="62" customHeight="1">
      <x:c r="A23" s="317" t="n">
        <x:v>19</x:v>
      </x:c>
      <x:c r="B23" s="318" t="str">
        <x:v>Unfamiliar-level adaptation</x:v>
      </x:c>
      <x:c r="C23" s="318" t="str">
        <x:v>Choose a level you rarely play and learn it.</x:v>
      </x:c>
      <x:c r="D23" s="318" t="str">
        <x:v>Play a seed with the goal of reading the level before rushing.</x:v>
      </x:c>
      <x:c r="E23" s="318" t="str">
        <x:v>At each safe spot, identify the next threat before moving.</x:v>
      </x:c>
      <x:c r="F23" s="318" t="str">
        <x:v>Finish three unfamiliar levels.</x:v>
      </x:c>
      <x:c r="G23" s="318" t="str">
        <x:v>Finish a seed with no blind-decision deaths.</x:v>
      </x:c>
      <x:c r="H23" s="318" t="n">
        <x:v>60</x:v>
      </x:c>
      <x:c r="I23" s="318" t="str">
        <x:v>Not Started</x:v>
      </x:c>
      <x:c r="J23" s="392" t="n">
        <x:f>IF(I23="Done",1,IF(I23="Partial",0.5,0))</x:f>
        <x:v>0</x:v>
      </x:c>
      <x:c r="K23" s="306"/>
      <x:c r="L23" s="306"/>
      <x:c r="M23" s="306"/>
      <x:c r="N23" s="306"/>
      <x:c r="O23" s="306"/>
      <x:c r="P23" s="306"/>
      <x:c r="Q23" s="306"/>
    </x:row>
    <x:row r="24" ht="62" customHeight="1">
      <x:c r="A24" s="317" t="n">
        <x:v>20</x:v>
      </x:c>
      <x:c r="B24" s="318" t="str">
        <x:v>No-reset discipline</x:v>
      </x:c>
      <x:c r="C24" s="318" t="str">
        <x:v>Play one full no-reset vanilla attempt.</x:v>
      </x:c>
      <x:c r="D24" s="318" t="str">
        <x:v>Play at least 30 minutes of a no-reset seed.</x:v>
      </x:c>
      <x:c r="E24" s="318" t="str">
        <x:v>Use a 10-second reset rule: never reset immediately after a mistake.</x:v>
      </x:c>
      <x:c r="F24" s="318" t="str">
        <x:v>Complete the planned time.</x:v>
      </x:c>
      <x:c r="G24" s="318" t="str">
        <x:v>Finish either attempt.</x:v>
      </x:c>
      <x:c r="H24" s="318" t="n">
        <x:v>75</x:v>
      </x:c>
      <x:c r="I24" s="318" t="str">
        <x:v>Not Started</x:v>
      </x:c>
      <x:c r="J24" s="392" t="n">
        <x:f>IF(I24="Done",1,IF(I24="Partial",0.5,0))</x:f>
        <x:v>0</x:v>
      </x:c>
      <x:c r="K24" s="306"/>
      <x:c r="L24" s="306"/>
      <x:c r="M24" s="306"/>
      <x:c r="N24" s="306"/>
      <x:c r="O24" s="306"/>
      <x:c r="P24" s="306"/>
      <x:c r="Q24" s="306"/>
    </x:row>
    <x:row r="25" ht="62" customHeight="1">
      <x:c r="A25" s="317" t="n">
        <x:v>21</x:v>
      </x:c>
      <x:c r="B25" s="318" t="str">
        <x:v>Week 3 benchmark</x:v>
      </x:c>
      <x:c r="C25" s="318" t="str">
        <x:v>Full run. Compare time, deaths, and consistency with Days 1, 7, and 14.</x:v>
      </x:c>
      <x:c r="D25" s="318" t="str">
        <x:v>Complete one seed or continue until a clear stopping point.</x:v>
      </x:c>
      <x:c r="E25" s="318" t="str">
        <x:v>Warm up only the single biggest weakness.</x:v>
      </x:c>
      <x:c r="F25" s="318" t="str">
        <x:v>Log both attempts.</x:v>
      </x:c>
      <x:c r="G25" s="318" t="str">
        <x:v>Set a new personal best in one metric.</x:v>
      </x:c>
      <x:c r="H25" s="318" t="n">
        <x:v>90</x:v>
      </x:c>
      <x:c r="I25" s="318" t="str">
        <x:v>Not Started</x:v>
      </x:c>
      <x:c r="J25" s="392" t="n">
        <x:f>IF(I25="Done",1,IF(I25="Partial",0.5,0))</x:f>
        <x:v>0</x:v>
      </x:c>
      <x:c r="K25" s="306"/>
      <x:c r="L25" s="306"/>
      <x:c r="M25" s="306"/>
      <x:c r="N25" s="306"/>
      <x:c r="O25" s="306"/>
      <x:c r="P25" s="306"/>
      <x:c r="Q25" s="306"/>
    </x:row>
    <x:row r="26" ht="62" customHeight="1">
      <x:c r="A26" s="317" t="n">
        <x:v>22</x:v>
      </x:c>
      <x:c r="B26" s="318" t="str">
        <x:v>Advanced movement efficiency</x:v>
      </x:c>
      <x:c r="C26" s="318" t="str">
        <x:v>Look for places where one controlled jump replaces two slow movements.</x:v>
      </x:c>
      <x:c r="D26" s="318" t="str">
        <x:v>Use efficient movement only after the route is understood.</x:v>
      </x:c>
      <x:c r="E26" s="318" t="str">
        <x:v>Repeat three movement shortcuts five times each.</x:v>
      </x:c>
      <x:c r="F26" s="318" t="str">
        <x:v>Land each shortcut twice.</x:v>
      </x:c>
      <x:c r="G26" s="318" t="str">
        <x:v>Use all three in a live run.</x:v>
      </x:c>
      <x:c r="H26" s="318" t="n">
        <x:v>50</x:v>
      </x:c>
      <x:c r="I26" s="318" t="str">
        <x:v>Not Started</x:v>
      </x:c>
      <x:c r="J26" s="392" t="n">
        <x:f>IF(I26="Done",1,IF(I26="Partial",0.5,0))</x:f>
        <x:v>0</x:v>
      </x:c>
      <x:c r="K26" s="306"/>
      <x:c r="L26" s="306"/>
      <x:c r="M26" s="306"/>
      <x:c r="N26" s="306"/>
      <x:c r="O26" s="306"/>
      <x:c r="P26" s="306"/>
      <x:c r="Q26" s="306"/>
    </x:row>
    <x:row r="27" ht="62" customHeight="1">
      <x:c r="A27" s="317" t="n">
        <x:v>23</x:v>
      </x:c>
      <x:c r="B27" s="318" t="str">
        <x:v>Autoscrollers, ships, and tanks</x:v>
      </x:c>
      <x:c r="C27" s="318" t="str">
        <x:v>Practice the stage type that causes the most deaths.</x:v>
      </x:c>
      <x:c r="D27" s="318" t="str">
        <x:v>Enter randomized autoscrollers with enough patience and inventory.</x:v>
      </x:c>
      <x:c r="E27" s="318" t="str">
        <x:v>Repeat the hardest 30–60 second section.</x:v>
      </x:c>
      <x:c r="F27" s="318" t="str">
        <x:v>Clear one stage.</x:v>
      </x:c>
      <x:c r="G27" s="318" t="str">
        <x:v>Clear two stages without damage.</x:v>
      </x:c>
      <x:c r="H27" s="318" t="n">
        <x:v>50</x:v>
      </x:c>
      <x:c r="I27" s="318" t="str">
        <x:v>Not Started</x:v>
      </x:c>
      <x:c r="J27" s="392" t="n">
        <x:f>IF(I27="Done",1,IF(I27="Partial",0.5,0))</x:f>
        <x:v>0</x:v>
      </x:c>
      <x:c r="K27" s="306"/>
      <x:c r="L27" s="306"/>
      <x:c r="M27" s="306"/>
      <x:c r="N27" s="306"/>
      <x:c r="O27" s="306"/>
      <x:c r="P27" s="306"/>
      <x:c r="Q27" s="306"/>
    </x:row>
    <x:row r="28" ht="62" customHeight="1">
      <x:c r="A28" s="317" t="n">
        <x:v>24</x:v>
      </x:c>
      <x:c r="B28" s="318" t="str">
        <x:v>Boss consistency</x:v>
      </x:c>
      <x:c r="C28" s="318" t="str">
        <x:v>Practice your weakest Koopaling or boss encounter.</x:v>
      </x:c>
      <x:c r="D28" s="318" t="str">
        <x:v>Decide before the fight whether to spend an item or accept a slower strategy.</x:v>
      </x:c>
      <x:c r="E28" s="318" t="str">
        <x:v>Win five boss fights.</x:v>
      </x:c>
      <x:c r="F28" s="318" t="str">
        <x:v>Three wins in a row.</x:v>
      </x:c>
      <x:c r="G28" s="318" t="str">
        <x:v>Five wins in a row without damage.</x:v>
      </x:c>
      <x:c r="H28" s="318" t="n">
        <x:v>45</x:v>
      </x:c>
      <x:c r="I28" s="318" t="str">
        <x:v>Not Started</x:v>
      </x:c>
      <x:c r="J28" s="392" t="n">
        <x:f>IF(I28="Done",1,IF(I28="Partial",0.5,0))</x:f>
        <x:v>0</x:v>
      </x:c>
      <x:c r="K28" s="306"/>
      <x:c r="L28" s="306"/>
      <x:c r="M28" s="306"/>
      <x:c r="N28" s="306"/>
      <x:c r="O28" s="306"/>
      <x:c r="P28" s="306"/>
      <x:c r="Q28" s="306"/>
    </x:row>
    <x:row r="29" ht="62" customHeight="1">
      <x:c r="A29" s="317" t="n">
        <x:v>25</x:v>
      </x:c>
      <x:c r="B29" s="318" t="str">
        <x:v>Randomizer experiment day</x:v>
      </x:c>
      <x:c r="C29" s="318" t="str">
        <x:v>Play a 20-minute vanilla warm-up.</x:v>
      </x:c>
      <x:c r="D29" s="318" t="str">
        <x:v>Change only one randomizer setting or strategy and test its effect.</x:v>
      </x:c>
      <x:c r="E29" s="318" t="str">
        <x:v>Write a prediction before the seed and a conclusion after.</x:v>
      </x:c>
      <x:c r="F29" s="318" t="str">
        <x:v>Complete one controlled experiment.</x:v>
      </x:c>
      <x:c r="G29" s="318" t="str">
        <x:v>Finish the seed and compare with a normal seed.</x:v>
      </x:c>
      <x:c r="H29" s="318" t="n">
        <x:v>70</x:v>
      </x:c>
      <x:c r="I29" s="318" t="str">
        <x:v>Not Started</x:v>
      </x:c>
      <x:c r="J29" s="392" t="n">
        <x:f>IF(I29="Done",1,IF(I29="Partial",0.5,0))</x:f>
        <x:v>0</x:v>
      </x:c>
      <x:c r="K29" s="306"/>
      <x:c r="L29" s="306"/>
      <x:c r="M29" s="306"/>
      <x:c r="N29" s="306"/>
      <x:c r="O29" s="306"/>
      <x:c r="P29" s="306"/>
      <x:c r="Q29" s="306"/>
    </x:row>
    <x:row r="30" ht="62" customHeight="1">
      <x:c r="A30" s="317" t="n">
        <x:v>26</x:v>
      </x:c>
      <x:c r="B30" s="318" t="str">
        <x:v>Route efficiency</x:v>
      </x:c>
      <x:c r="C30" s="318" t="str">
        <x:v>Review one full run and find three unnecessary pauses, detours, or item uses.</x:v>
      </x:c>
      <x:c r="D30" s="318" t="str">
        <x:v>Review one seed and identify the costliest route change.</x:v>
      </x:c>
      <x:c r="E30" s="318" t="str">
        <x:v>Replay one segment using the improved route.</x:v>
      </x:c>
      <x:c r="F30" s="318" t="str">
        <x:v>Remove one repeated time loss.</x:v>
      </x:c>
      <x:c r="G30" s="318" t="str">
        <x:v>Demonstrate all three improvements.</x:v>
      </x:c>
      <x:c r="H30" s="318" t="n">
        <x:v>60</x:v>
      </x:c>
      <x:c r="I30" s="318" t="str">
        <x:v>Not Started</x:v>
      </x:c>
      <x:c r="J30" s="392" t="n">
        <x:f>IF(I30="Done",1,IF(I30="Partial",0.5,0))</x:f>
        <x:v>0</x:v>
      </x:c>
      <x:c r="K30" s="306"/>
      <x:c r="L30" s="306"/>
      <x:c r="M30" s="306"/>
      <x:c r="N30" s="306"/>
      <x:c r="O30" s="306"/>
      <x:c r="P30" s="306"/>
      <x:c r="Q30" s="306"/>
    </x:row>
    <x:row r="31" ht="62" customHeight="1">
      <x:c r="A31" s="317" t="n">
        <x:v>27</x:v>
      </x:c>
      <x:c r="B31" s="318" t="str">
        <x:v>Consistency under pressure</x:v>
      </x:c>
      <x:c r="C31" s="318" t="str">
        <x:v>Play three selected levels; a failure restarts only that level set.</x:v>
      </x:c>
      <x:c r="D31" s="318" t="str">
        <x:v>Play a seed with a rule against emotional resets.</x:v>
      </x:c>
      <x:c r="E31" s="318" t="str">
        <x:v>Use slow breathing before high-risk sections.</x:v>
      </x:c>
      <x:c r="F31" s="318" t="str">
        <x:v>Complete three clean levels.</x:v>
      </x:c>
      <x:c r="G31" s="318" t="str">
        <x:v>Complete six clean levels in a row.</x:v>
      </x:c>
      <x:c r="H31" s="318" t="n">
        <x:v>55</x:v>
      </x:c>
      <x:c r="I31" s="318" t="str">
        <x:v>Not Started</x:v>
      </x:c>
      <x:c r="J31" s="392" t="n">
        <x:f>IF(I31="Done",1,IF(I31="Partial",0.5,0))</x:f>
        <x:v>0</x:v>
      </x:c>
      <x:c r="K31" s="306"/>
      <x:c r="L31" s="306"/>
      <x:c r="M31" s="306"/>
      <x:c r="N31" s="306"/>
      <x:c r="O31" s="306"/>
      <x:c r="P31" s="306"/>
      <x:c r="Q31" s="306"/>
    </x:row>
    <x:row r="32" ht="62" customHeight="1">
      <x:c r="A32" s="317" t="n">
        <x:v>28</x:v>
      </x:c>
      <x:c r="B32" s="318" t="str">
        <x:v>Final vanilla test</x:v>
      </x:c>
      <x:c r="C32" s="318" t="str">
        <x:v>Play a full serious vanilla run under the same rules as Day 1.</x:v>
      </x:c>
      <x:c r="D32" s="318" t="str">
        <x:v>Optional 20-minute seed warm-up or review.</x:v>
      </x:c>
      <x:c r="E32" s="318" t="str">
        <x:v>10-minute warm-up on your top weakness.</x:v>
      </x:c>
      <x:c r="F32" s="318" t="str">
        <x:v>Finish and log the run.</x:v>
      </x:c>
      <x:c r="G32" s="318" t="str">
        <x:v>Beat Day 1 in time, deaths, or confidence.</x:v>
      </x:c>
      <x:c r="H32" s="318" t="n">
        <x:v>90</x:v>
      </x:c>
      <x:c r="I32" s="318" t="str">
        <x:v>Not Started</x:v>
      </x:c>
      <x:c r="J32" s="392" t="n">
        <x:f>IF(I32="Done",1,IF(I32="Partial",0.5,0))</x:f>
        <x:v>0</x:v>
      </x:c>
      <x:c r="K32" s="306"/>
      <x:c r="L32" s="306"/>
      <x:c r="M32" s="306"/>
      <x:c r="N32" s="306"/>
      <x:c r="O32" s="306"/>
      <x:c r="P32" s="306"/>
      <x:c r="Q32" s="306"/>
    </x:row>
    <x:row r="33" ht="62" customHeight="1">
      <x:c r="A33" s="317" t="n">
        <x:v>29</x:v>
      </x:c>
      <x:c r="B33" s="318" t="str">
        <x:v>Final randomizer test</x:v>
      </x:c>
      <x:c r="C33" s="318" t="str">
        <x:v>Optional 20-minute vanilla warm-up.</x:v>
      </x:c>
      <x:c r="D33" s="318" t="str">
        <x:v>Play a full serious seed with your standard settings.</x:v>
      </x:c>
      <x:c r="E33" s="318" t="str">
        <x:v>Use your written decision rules and no-reset discipline.</x:v>
      </x:c>
      <x:c r="F33" s="318" t="str">
        <x:v>Play the full planned session.</x:v>
      </x:c>
      <x:c r="G33" s="318" t="str">
        <x:v>Finish and improve your baseline result.</x:v>
      </x:c>
      <x:c r="H33" s="318" t="n">
        <x:v>90</x:v>
      </x:c>
      <x:c r="I33" s="318" t="str">
        <x:v>Not Started</x:v>
      </x:c>
      <x:c r="J33" s="392" t="n">
        <x:f>IF(I33="Done",1,IF(I33="Partial",0.5,0))</x:f>
        <x:v>0</x:v>
      </x:c>
      <x:c r="K33" s="306"/>
      <x:c r="L33" s="306"/>
      <x:c r="M33" s="306"/>
      <x:c r="N33" s="306"/>
      <x:c r="O33" s="306"/>
      <x:c r="P33" s="306"/>
      <x:c r="Q33" s="306"/>
    </x:row>
    <x:row r="34" ht="62" customHeight="1">
      <x:c r="A34" s="324" t="n">
        <x:v>30</x:v>
      </x:c>
      <x:c r="B34" s="325" t="str">
        <x:v>Review and next cycle</x:v>
      </x:c>
      <x:c r="C34" s="325" t="str">
        <x:v>Choose the three vanilla skills that need the next month.</x:v>
      </x:c>
      <x:c r="D34" s="325" t="str">
        <x:v>Choose the three randomizer decisions or level types that need work.</x:v>
      </x:c>
      <x:c r="E34" s="325" t="str">
        <x:v>Update Skill Tracker with evidence from your logs.</x:v>
      </x:c>
      <x:c r="F34" s="325" t="str">
        <x:v>Complete the review.</x:v>
      </x:c>
      <x:c r="G34" s="325" t="str">
        <x:v>Set next month's numerical targets.</x:v>
      </x:c>
      <x:c r="H34" s="325" t="n">
        <x:v>45</x:v>
      </x:c>
      <x:c r="I34" s="325" t="str">
        <x:v>Not Started</x:v>
      </x:c>
      <x:c r="J34" s="393" t="n">
        <x:f>IF(I34="Done",1,IF(I34="Partial",0.5,0))</x:f>
        <x:v>0</x:v>
      </x:c>
      <x:c r="K34" s="306"/>
      <x:c r="L34" s="306"/>
      <x:c r="M34" s="306"/>
      <x:c r="N34" s="306"/>
      <x:c r="O34" s="306"/>
      <x:c r="P34" s="306"/>
      <x:c r="Q34" s="306"/>
    </x:row>
    <x:row r="35">
      <x:c r="A35" s="306"/>
      <x:c r="B35" s="306"/>
      <x:c r="C35" s="306"/>
      <x:c r="D35" s="306"/>
      <x:c r="E35" s="306"/>
      <x:c r="F35" s="306"/>
      <x:c r="G35" s="306"/>
      <x:c r="H35" s="306"/>
      <x:c r="I35" s="306"/>
      <x:c r="J35" s="306"/>
      <x:c r="K35" s="306"/>
      <x:c r="L35" s="306"/>
      <x:c r="M35" s="306"/>
      <x:c r="N35" s="306"/>
      <x:c r="O35" s="306"/>
      <x:c r="P35" s="306"/>
      <x:c r="Q35" s="306"/>
    </x:row>
    <x:row r="36">
      <x:c r="A36" s="306"/>
      <x:c r="B36" s="306"/>
      <x:c r="C36" s="306"/>
      <x:c r="D36" s="306"/>
      <x:c r="E36" s="306"/>
      <x:c r="F36" s="306"/>
      <x:c r="G36" s="306"/>
      <x:c r="H36" s="306"/>
      <x:c r="I36" s="306"/>
      <x:c r="J36" s="306"/>
      <x:c r="K36" s="306"/>
      <x:c r="L36" s="306"/>
      <x:c r="M36" s="306"/>
      <x:c r="N36" s="306"/>
      <x:c r="O36" s="306"/>
      <x:c r="P36" s="306"/>
      <x:c r="Q36" s="306"/>
    </x:row>
    <x:row r="37">
      <x:c r="A37" s="306"/>
      <x:c r="B37" s="306"/>
      <x:c r="C37" s="306"/>
      <x:c r="D37" s="306"/>
      <x:c r="E37" s="306"/>
      <x:c r="F37" s="306"/>
      <x:c r="G37" s="306"/>
      <x:c r="H37" s="306"/>
      <x:c r="I37" s="306"/>
      <x:c r="J37" s="306"/>
      <x:c r="K37" s="306"/>
      <x:c r="L37" s="306"/>
      <x:c r="M37" s="306"/>
      <x:c r="N37" s="306"/>
      <x:c r="O37" s="306"/>
      <x:c r="P37" s="306"/>
      <x:c r="Q37" s="306"/>
    </x:row>
    <x:row r="38">
      <x:c r="A38" s="306"/>
      <x:c r="B38" s="306"/>
      <x:c r="C38" s="306"/>
      <x:c r="D38" s="306"/>
      <x:c r="E38" s="306"/>
      <x:c r="F38" s="306"/>
      <x:c r="G38" s="306"/>
      <x:c r="H38" s="306"/>
      <x:c r="I38" s="306"/>
      <x:c r="J38" s="306"/>
      <x:c r="K38" s="306"/>
      <x:c r="L38" s="306"/>
      <x:c r="M38" s="306"/>
      <x:c r="N38" s="306"/>
      <x:c r="O38" s="306"/>
      <x:c r="P38" s="306"/>
      <x:c r="Q38" s="306"/>
    </x:row>
    <x:row r="39">
      <x:c r="A39" s="306"/>
      <x:c r="B39" s="306"/>
      <x:c r="C39" s="306"/>
      <x:c r="D39" s="306"/>
      <x:c r="E39" s="306"/>
      <x:c r="F39" s="306"/>
      <x:c r="G39" s="306"/>
      <x:c r="H39" s="306"/>
      <x:c r="I39" s="306"/>
      <x:c r="J39" s="306"/>
      <x:c r="K39" s="306"/>
      <x:c r="L39" s="306"/>
      <x:c r="M39" s="306"/>
      <x:c r="N39" s="306"/>
      <x:c r="O39" s="306"/>
      <x:c r="P39" s="306"/>
      <x:c r="Q39" s="306"/>
    </x:row>
    <x:row r="40">
      <x:c r="A40" s="306"/>
      <x:c r="B40" s="306"/>
      <x:c r="C40" s="306"/>
      <x:c r="D40" s="306"/>
      <x:c r="E40" s="306"/>
      <x:c r="F40" s="306"/>
      <x:c r="G40" s="306"/>
      <x:c r="H40" s="306"/>
      <x:c r="I40" s="306"/>
      <x:c r="J40" s="306"/>
      <x:c r="K40" s="306"/>
      <x:c r="L40" s="306"/>
      <x:c r="M40" s="306"/>
      <x:c r="N40" s="306"/>
      <x:c r="O40" s="306"/>
      <x:c r="P40" s="306"/>
      <x:c r="Q40" s="306"/>
    </x:row>
    <x:row r="41">
      <x:c r="A41" s="306"/>
      <x:c r="B41" s="306"/>
      <x:c r="C41" s="306"/>
      <x:c r="D41" s="306"/>
      <x:c r="E41" s="306"/>
      <x:c r="F41" s="306"/>
      <x:c r="G41" s="306"/>
      <x:c r="H41" s="306"/>
      <x:c r="I41" s="306"/>
      <x:c r="J41" s="306"/>
      <x:c r="K41" s="306"/>
      <x:c r="L41" s="306"/>
      <x:c r="M41" s="306"/>
      <x:c r="N41" s="306"/>
      <x:c r="O41" s="306"/>
      <x:c r="P41" s="306"/>
      <x:c r="Q41" s="306"/>
    </x:row>
    <x:row r="42">
      <x:c r="A42" s="306"/>
      <x:c r="B42" s="306"/>
      <x:c r="C42" s="306"/>
      <x:c r="D42" s="306"/>
      <x:c r="E42" s="306"/>
      <x:c r="F42" s="306"/>
      <x:c r="G42" s="306"/>
      <x:c r="H42" s="306"/>
      <x:c r="I42" s="306"/>
      <x:c r="J42" s="306"/>
      <x:c r="K42" s="306"/>
      <x:c r="L42" s="306"/>
      <x:c r="M42" s="306"/>
      <x:c r="N42" s="306"/>
      <x:c r="O42" s="306"/>
      <x:c r="P42" s="306"/>
      <x:c r="Q42" s="306"/>
    </x:row>
    <x:row r="43">
      <x:c r="A43" s="306"/>
      <x:c r="B43" s="306"/>
      <x:c r="C43" s="306"/>
      <x:c r="D43" s="306"/>
      <x:c r="E43" s="306"/>
      <x:c r="F43" s="306"/>
      <x:c r="G43" s="306"/>
      <x:c r="H43" s="306"/>
      <x:c r="I43" s="306"/>
      <x:c r="J43" s="306"/>
      <x:c r="K43" s="306"/>
      <x:c r="L43" s="306"/>
      <x:c r="M43" s="306"/>
      <x:c r="N43" s="306"/>
      <x:c r="O43" s="306"/>
      <x:c r="P43" s="306"/>
      <x:c r="Q43" s="306"/>
    </x:row>
    <x:row r="44">
      <x:c r="A44" s="306"/>
      <x:c r="B44" s="306"/>
      <x:c r="C44" s="306"/>
      <x:c r="D44" s="306"/>
      <x:c r="E44" s="306"/>
      <x:c r="F44" s="306"/>
      <x:c r="G44" s="306"/>
      <x:c r="H44" s="306"/>
      <x:c r="I44" s="306"/>
      <x:c r="J44" s="306"/>
      <x:c r="K44" s="306"/>
      <x:c r="L44" s="306"/>
      <x:c r="M44" s="306"/>
      <x:c r="N44" s="306"/>
      <x:c r="O44" s="306"/>
      <x:c r="P44" s="306"/>
      <x:c r="Q44" s="306"/>
    </x:row>
    <x:row r="45">
      <x:c r="A45" s="306"/>
      <x:c r="B45" s="306"/>
      <x:c r="C45" s="306"/>
      <x:c r="D45" s="306"/>
      <x:c r="E45" s="306"/>
      <x:c r="F45" s="306"/>
      <x:c r="G45" s="306"/>
      <x:c r="H45" s="306"/>
      <x:c r="I45" s="306"/>
      <x:c r="J45" s="306"/>
      <x:c r="K45" s="306"/>
      <x:c r="L45" s="306"/>
      <x:c r="M45" s="306"/>
      <x:c r="N45" s="306"/>
      <x:c r="O45" s="306"/>
      <x:c r="P45" s="306"/>
      <x:c r="Q45" s="306"/>
    </x:row>
    <x:row r="46">
      <x:c r="A46" s="306"/>
      <x:c r="B46" s="306"/>
      <x:c r="C46" s="306"/>
      <x:c r="D46" s="306"/>
      <x:c r="E46" s="306"/>
      <x:c r="F46" s="306"/>
      <x:c r="G46" s="306"/>
      <x:c r="H46" s="306"/>
      <x:c r="I46" s="306"/>
      <x:c r="J46" s="306"/>
      <x:c r="K46" s="306"/>
      <x:c r="L46" s="306"/>
      <x:c r="M46" s="306"/>
      <x:c r="N46" s="306"/>
      <x:c r="O46" s="306"/>
      <x:c r="P46" s="306"/>
      <x:c r="Q46" s="306"/>
    </x:row>
    <x:row r="47">
      <x:c r="A47" s="306"/>
      <x:c r="B47" s="306"/>
      <x:c r="C47" s="306"/>
      <x:c r="D47" s="306"/>
      <x:c r="E47" s="306"/>
      <x:c r="F47" s="306"/>
      <x:c r="G47" s="306"/>
      <x:c r="H47" s="306"/>
      <x:c r="I47" s="306"/>
      <x:c r="J47" s="306"/>
      <x:c r="K47" s="306"/>
      <x:c r="L47" s="306"/>
      <x:c r="M47" s="306"/>
      <x:c r="N47" s="306"/>
      <x:c r="O47" s="306"/>
      <x:c r="P47" s="306"/>
      <x:c r="Q47" s="306"/>
    </x:row>
    <x:row r="48">
      <x:c r="A48" s="306"/>
      <x:c r="B48" s="306"/>
      <x:c r="C48" s="306"/>
      <x:c r="D48" s="306"/>
      <x:c r="E48" s="306"/>
      <x:c r="F48" s="306"/>
      <x:c r="G48" s="306"/>
      <x:c r="H48" s="306"/>
      <x:c r="I48" s="306"/>
      <x:c r="J48" s="306"/>
      <x:c r="K48" s="306"/>
      <x:c r="L48" s="306"/>
      <x:c r="M48" s="306"/>
      <x:c r="N48" s="306"/>
      <x:c r="O48" s="306"/>
      <x:c r="P48" s="306"/>
      <x:c r="Q48" s="306"/>
    </x:row>
    <x:row r="49">
      <x:c r="A49" s="306"/>
      <x:c r="B49" s="306"/>
      <x:c r="C49" s="306"/>
      <x:c r="D49" s="306"/>
      <x:c r="E49" s="306"/>
      <x:c r="F49" s="306"/>
      <x:c r="G49" s="306"/>
      <x:c r="H49" s="306"/>
      <x:c r="I49" s="306"/>
      <x:c r="J49" s="306"/>
      <x:c r="K49" s="306"/>
      <x:c r="L49" s="306"/>
      <x:c r="M49" s="306"/>
      <x:c r="N49" s="306"/>
      <x:c r="O49" s="306"/>
      <x:c r="P49" s="306"/>
      <x:c r="Q49" s="306"/>
    </x:row>
    <x:row r="50">
      <x:c r="A50" s="306"/>
      <x:c r="B50" s="306"/>
      <x:c r="C50" s="306"/>
      <x:c r="D50" s="306"/>
      <x:c r="E50" s="306"/>
      <x:c r="F50" s="306"/>
      <x:c r="G50" s="306"/>
      <x:c r="H50" s="306"/>
      <x:c r="I50" s="306"/>
      <x:c r="J50" s="306"/>
      <x:c r="K50" s="306"/>
      <x:c r="L50" s="306"/>
      <x:c r="M50" s="306"/>
      <x:c r="N50" s="306"/>
      <x:c r="O50" s="306"/>
      <x:c r="P50" s="306"/>
      <x:c r="Q50" s="306"/>
    </x:row>
    <x:row r="51">
      <x:c r="A51" s="306"/>
      <x:c r="B51" s="306"/>
      <x:c r="C51" s="306"/>
      <x:c r="D51" s="306"/>
      <x:c r="E51" s="306"/>
      <x:c r="F51" s="306"/>
      <x:c r="G51" s="306"/>
      <x:c r="H51" s="306"/>
      <x:c r="I51" s="306"/>
      <x:c r="J51" s="306"/>
      <x:c r="K51" s="306"/>
      <x:c r="L51" s="306"/>
      <x:c r="M51" s="306"/>
      <x:c r="N51" s="306"/>
      <x:c r="O51" s="306"/>
      <x:c r="P51" s="306"/>
      <x:c r="Q51" s="306"/>
    </x:row>
    <x:row r="52">
      <x:c r="A52" s="306"/>
      <x:c r="B52" s="306"/>
      <x:c r="C52" s="306"/>
      <x:c r="D52" s="306"/>
      <x:c r="E52" s="306"/>
      <x:c r="F52" s="306"/>
      <x:c r="G52" s="306"/>
      <x:c r="H52" s="306"/>
      <x:c r="I52" s="306"/>
      <x:c r="J52" s="306"/>
      <x:c r="K52" s="306"/>
      <x:c r="L52" s="306"/>
      <x:c r="M52" s="306"/>
      <x:c r="N52" s="306"/>
      <x:c r="O52" s="306"/>
      <x:c r="P52" s="306"/>
      <x:c r="Q52" s="306"/>
    </x:row>
    <x:row r="53">
      <x:c r="A53" s="306"/>
      <x:c r="B53" s="306"/>
      <x:c r="C53" s="306"/>
      <x:c r="D53" s="306"/>
      <x:c r="E53" s="306"/>
      <x:c r="F53" s="306"/>
      <x:c r="G53" s="306"/>
      <x:c r="H53" s="306"/>
      <x:c r="I53" s="306"/>
      <x:c r="J53" s="306"/>
      <x:c r="K53" s="306"/>
      <x:c r="L53" s="306"/>
      <x:c r="M53" s="306"/>
      <x:c r="N53" s="306"/>
      <x:c r="O53" s="306"/>
      <x:c r="P53" s="306"/>
      <x:c r="Q53" s="306"/>
    </x:row>
    <x:row r="54">
      <x:c r="A54" s="306"/>
      <x:c r="B54" s="306"/>
      <x:c r="C54" s="306"/>
      <x:c r="D54" s="306"/>
      <x:c r="E54" s="306"/>
      <x:c r="F54" s="306"/>
      <x:c r="G54" s="306"/>
      <x:c r="H54" s="306"/>
      <x:c r="I54" s="306"/>
      <x:c r="J54" s="306"/>
      <x:c r="K54" s="306"/>
      <x:c r="L54" s="306"/>
      <x:c r="M54" s="306"/>
      <x:c r="N54" s="306"/>
      <x:c r="O54" s="306"/>
      <x:c r="P54" s="306"/>
      <x:c r="Q54" s="306"/>
    </x:row>
    <x:row r="55">
      <x:c r="A55" s="306"/>
      <x:c r="B55" s="306"/>
      <x:c r="C55" s="306"/>
      <x:c r="D55" s="306"/>
      <x:c r="E55" s="306"/>
      <x:c r="F55" s="306"/>
      <x:c r="G55" s="306"/>
      <x:c r="H55" s="306"/>
      <x:c r="I55" s="306"/>
      <x:c r="J55" s="306"/>
      <x:c r="K55" s="306"/>
      <x:c r="L55" s="306"/>
      <x:c r="M55" s="306"/>
      <x:c r="N55" s="306"/>
      <x:c r="O55" s="306"/>
      <x:c r="P55" s="306"/>
      <x:c r="Q55" s="306"/>
    </x:row>
    <x:row r="56">
      <x:c r="A56" s="306"/>
      <x:c r="B56" s="306"/>
      <x:c r="C56" s="306"/>
      <x:c r="D56" s="306"/>
      <x:c r="E56" s="306"/>
      <x:c r="F56" s="306"/>
      <x:c r="G56" s="306"/>
      <x:c r="H56" s="306"/>
      <x:c r="I56" s="306"/>
      <x:c r="J56" s="306"/>
      <x:c r="K56" s="306"/>
      <x:c r="L56" s="306"/>
      <x:c r="M56" s="306"/>
      <x:c r="N56" s="306"/>
      <x:c r="O56" s="306"/>
      <x:c r="P56" s="306"/>
      <x:c r="Q56" s="306"/>
    </x:row>
    <x:row r="57">
      <x:c r="A57" s="306"/>
      <x:c r="B57" s="306"/>
      <x:c r="C57" s="306"/>
      <x:c r="D57" s="306"/>
      <x:c r="E57" s="306"/>
      <x:c r="F57" s="306"/>
      <x:c r="G57" s="306"/>
      <x:c r="H57" s="306"/>
      <x:c r="I57" s="306"/>
      <x:c r="J57" s="306"/>
      <x:c r="K57" s="306"/>
      <x:c r="L57" s="306"/>
      <x:c r="M57" s="306"/>
      <x:c r="N57" s="306"/>
      <x:c r="O57" s="306"/>
      <x:c r="P57" s="306"/>
      <x:c r="Q57" s="306"/>
    </x:row>
    <x:row r="58">
      <x:c r="A58" s="306"/>
      <x:c r="B58" s="306"/>
      <x:c r="C58" s="306"/>
      <x:c r="D58" s="306"/>
      <x:c r="E58" s="306"/>
      <x:c r="F58" s="306"/>
      <x:c r="G58" s="306"/>
      <x:c r="H58" s="306"/>
      <x:c r="I58" s="306"/>
      <x:c r="J58" s="306"/>
      <x:c r="K58" s="306"/>
      <x:c r="L58" s="306"/>
      <x:c r="M58" s="306"/>
      <x:c r="N58" s="306"/>
      <x:c r="O58" s="306"/>
      <x:c r="P58" s="306"/>
      <x:c r="Q58" s="306"/>
    </x:row>
    <x:row r="59">
      <x:c r="A59" s="306"/>
      <x:c r="B59" s="306"/>
      <x:c r="C59" s="306"/>
      <x:c r="D59" s="306"/>
      <x:c r="E59" s="306"/>
      <x:c r="F59" s="306"/>
      <x:c r="G59" s="306"/>
      <x:c r="H59" s="306"/>
      <x:c r="I59" s="306"/>
      <x:c r="J59" s="306"/>
      <x:c r="K59" s="306"/>
      <x:c r="L59" s="306"/>
      <x:c r="M59" s="306"/>
      <x:c r="N59" s="306"/>
      <x:c r="O59" s="306"/>
      <x:c r="P59" s="306"/>
      <x:c r="Q59" s="306"/>
    </x:row>
    <x:row r="60">
      <x:c r="A60" s="306"/>
      <x:c r="B60" s="306"/>
      <x:c r="C60" s="306"/>
      <x:c r="D60" s="306"/>
      <x:c r="E60" s="306"/>
      <x:c r="F60" s="306"/>
      <x:c r="G60" s="306"/>
      <x:c r="H60" s="306"/>
      <x:c r="I60" s="306"/>
      <x:c r="J60" s="306"/>
      <x:c r="K60" s="306"/>
      <x:c r="L60" s="306"/>
      <x:c r="M60" s="306"/>
      <x:c r="N60" s="306"/>
      <x:c r="O60" s="306"/>
      <x:c r="P60" s="306"/>
      <x:c r="Q60" s="306"/>
    </x:row>
    <x:row r="61">
      <x:c r="A61" s="306"/>
      <x:c r="B61" s="306"/>
      <x:c r="C61" s="306"/>
      <x:c r="D61" s="306"/>
      <x:c r="E61" s="306"/>
      <x:c r="F61" s="306"/>
      <x:c r="G61" s="306"/>
      <x:c r="H61" s="306"/>
      <x:c r="I61" s="306"/>
      <x:c r="J61" s="306"/>
      <x:c r="K61" s="306"/>
      <x:c r="L61" s="306"/>
      <x:c r="M61" s="306"/>
      <x:c r="N61" s="306"/>
      <x:c r="O61" s="306"/>
      <x:c r="P61" s="306"/>
      <x:c r="Q61" s="306"/>
    </x:row>
    <x:row r="62">
      <x:c r="A62" s="306"/>
      <x:c r="B62" s="306"/>
      <x:c r="C62" s="306"/>
      <x:c r="D62" s="306"/>
      <x:c r="E62" s="306"/>
      <x:c r="F62" s="306"/>
      <x:c r="G62" s="306"/>
      <x:c r="H62" s="306"/>
      <x:c r="I62" s="306"/>
      <x:c r="J62" s="306"/>
      <x:c r="K62" s="306"/>
      <x:c r="L62" s="306"/>
      <x:c r="M62" s="306"/>
      <x:c r="N62" s="306"/>
      <x:c r="O62" s="306"/>
      <x:c r="P62" s="306"/>
      <x:c r="Q62" s="306"/>
    </x:row>
    <x:row r="63">
      <x:c r="A63" s="306"/>
      <x:c r="B63" s="306"/>
      <x:c r="C63" s="306"/>
      <x:c r="D63" s="306"/>
      <x:c r="E63" s="306"/>
      <x:c r="F63" s="306"/>
      <x:c r="G63" s="306"/>
      <x:c r="H63" s="306"/>
      <x:c r="I63" s="306"/>
      <x:c r="J63" s="306"/>
      <x:c r="K63" s="306"/>
      <x:c r="L63" s="306"/>
      <x:c r="M63" s="306"/>
      <x:c r="N63" s="306"/>
      <x:c r="O63" s="306"/>
      <x:c r="P63" s="306"/>
      <x:c r="Q63" s="306"/>
    </x:row>
    <x:row r="64">
      <x:c r="A64" s="306"/>
      <x:c r="B64" s="306"/>
      <x:c r="C64" s="306"/>
      <x:c r="D64" s="306"/>
      <x:c r="E64" s="306"/>
      <x:c r="F64" s="306"/>
      <x:c r="G64" s="306"/>
      <x:c r="H64" s="306"/>
      <x:c r="I64" s="306"/>
      <x:c r="J64" s="306"/>
      <x:c r="K64" s="306"/>
      <x:c r="L64" s="306"/>
      <x:c r="M64" s="306"/>
      <x:c r="N64" s="306"/>
      <x:c r="O64" s="306"/>
      <x:c r="P64" s="306"/>
      <x:c r="Q64" s="306"/>
    </x:row>
    <x:row r="65">
      <x:c r="A65" s="306"/>
      <x:c r="B65" s="306"/>
      <x:c r="C65" s="306"/>
      <x:c r="D65" s="306"/>
      <x:c r="E65" s="306"/>
      <x:c r="F65" s="306"/>
      <x:c r="G65" s="306"/>
      <x:c r="H65" s="306"/>
      <x:c r="I65" s="306"/>
      <x:c r="J65" s="306"/>
      <x:c r="K65" s="306"/>
      <x:c r="L65" s="306"/>
      <x:c r="M65" s="306"/>
      <x:c r="N65" s="306"/>
      <x:c r="O65" s="306"/>
      <x:c r="P65" s="306"/>
      <x:c r="Q65" s="306"/>
    </x:row>
    <x:row r="66">
      <x:c r="A66" s="306"/>
      <x:c r="B66" s="306"/>
      <x:c r="C66" s="306"/>
      <x:c r="D66" s="306"/>
      <x:c r="E66" s="306"/>
      <x:c r="F66" s="306"/>
      <x:c r="G66" s="306"/>
      <x:c r="H66" s="306"/>
      <x:c r="I66" s="306"/>
      <x:c r="J66" s="306"/>
      <x:c r="K66" s="306"/>
      <x:c r="L66" s="306"/>
      <x:c r="M66" s="306"/>
      <x:c r="N66" s="306"/>
      <x:c r="O66" s="306"/>
      <x:c r="P66" s="306"/>
      <x:c r="Q66" s="306"/>
    </x:row>
    <x:row r="67">
      <x:c r="A67" s="306"/>
      <x:c r="B67" s="306"/>
      <x:c r="C67" s="306"/>
      <x:c r="D67" s="306"/>
      <x:c r="E67" s="306"/>
      <x:c r="F67" s="306"/>
      <x:c r="G67" s="306"/>
      <x:c r="H67" s="306"/>
      <x:c r="I67" s="306"/>
      <x:c r="J67" s="306"/>
      <x:c r="K67" s="306"/>
      <x:c r="L67" s="306"/>
      <x:c r="M67" s="306"/>
      <x:c r="N67" s="306"/>
      <x:c r="O67" s="306"/>
      <x:c r="P67" s="306"/>
      <x:c r="Q67" s="306"/>
    </x:row>
    <x:row r="68">
      <x:c r="A68" s="306"/>
      <x:c r="B68" s="306"/>
      <x:c r="C68" s="306"/>
      <x:c r="D68" s="306"/>
      <x:c r="E68" s="306"/>
      <x:c r="F68" s="306"/>
      <x:c r="G68" s="306"/>
      <x:c r="H68" s="306"/>
      <x:c r="I68" s="306"/>
      <x:c r="J68" s="306"/>
      <x:c r="K68" s="306"/>
      <x:c r="L68" s="306"/>
      <x:c r="M68" s="306"/>
      <x:c r="N68" s="306"/>
      <x:c r="O68" s="306"/>
      <x:c r="P68" s="306"/>
      <x:c r="Q68" s="306"/>
    </x:row>
    <x:row r="69">
      <x:c r="A69" s="306"/>
      <x:c r="B69" s="306"/>
      <x:c r="C69" s="306"/>
      <x:c r="D69" s="306"/>
      <x:c r="E69" s="306"/>
      <x:c r="F69" s="306"/>
      <x:c r="G69" s="306"/>
      <x:c r="H69" s="306"/>
      <x:c r="I69" s="306"/>
      <x:c r="J69" s="306"/>
      <x:c r="K69" s="306"/>
      <x:c r="L69" s="306"/>
      <x:c r="M69" s="306"/>
      <x:c r="N69" s="306"/>
      <x:c r="O69" s="306"/>
      <x:c r="P69" s="306"/>
      <x:c r="Q69" s="306"/>
    </x:row>
    <x:row r="70">
      <x:c r="A70" s="306"/>
      <x:c r="B70" s="306"/>
      <x:c r="C70" s="306"/>
      <x:c r="D70" s="306"/>
      <x:c r="E70" s="306"/>
      <x:c r="F70" s="306"/>
      <x:c r="G70" s="306"/>
      <x:c r="H70" s="306"/>
      <x:c r="I70" s="306"/>
      <x:c r="J70" s="306"/>
      <x:c r="K70" s="306"/>
      <x:c r="L70" s="306"/>
      <x:c r="M70" s="306"/>
      <x:c r="N70" s="306"/>
      <x:c r="O70" s="306"/>
      <x:c r="P70" s="306"/>
      <x:c r="Q70" s="306"/>
    </x:row>
    <x:row r="71">
      <x:c r="A71" s="306"/>
      <x:c r="B71" s="306"/>
      <x:c r="C71" s="306"/>
      <x:c r="D71" s="306"/>
      <x:c r="E71" s="306"/>
      <x:c r="F71" s="306"/>
      <x:c r="G71" s="306"/>
      <x:c r="H71" s="306"/>
      <x:c r="I71" s="306"/>
      <x:c r="J71" s="306"/>
      <x:c r="K71" s="306"/>
      <x:c r="L71" s="306"/>
      <x:c r="M71" s="306"/>
      <x:c r="N71" s="306"/>
      <x:c r="O71" s="306"/>
      <x:c r="P71" s="306"/>
      <x:c r="Q71" s="306"/>
    </x:row>
    <x:row r="72">
      <x:c r="A72" s="306"/>
      <x:c r="B72" s="306"/>
      <x:c r="C72" s="306"/>
      <x:c r="D72" s="306"/>
      <x:c r="E72" s="306"/>
      <x:c r="F72" s="306"/>
      <x:c r="G72" s="306"/>
      <x:c r="H72" s="306"/>
      <x:c r="I72" s="306"/>
      <x:c r="J72" s="306"/>
      <x:c r="K72" s="306"/>
      <x:c r="L72" s="306"/>
      <x:c r="M72" s="306"/>
      <x:c r="N72" s="306"/>
      <x:c r="O72" s="306"/>
      <x:c r="P72" s="306"/>
      <x:c r="Q72" s="306"/>
    </x:row>
    <x:row r="73">
      <x:c r="A73" s="306"/>
      <x:c r="B73" s="306"/>
      <x:c r="C73" s="306"/>
      <x:c r="D73" s="306"/>
      <x:c r="E73" s="306"/>
      <x:c r="F73" s="306"/>
      <x:c r="G73" s="306"/>
      <x:c r="H73" s="306"/>
      <x:c r="I73" s="306"/>
      <x:c r="J73" s="306"/>
      <x:c r="K73" s="306"/>
      <x:c r="L73" s="306"/>
      <x:c r="M73" s="306"/>
      <x:c r="N73" s="306"/>
      <x:c r="O73" s="306"/>
      <x:c r="P73" s="306"/>
      <x:c r="Q73" s="306"/>
    </x:row>
    <x:row r="74">
      <x:c r="A74" s="306"/>
      <x:c r="B74" s="306"/>
      <x:c r="C74" s="306"/>
      <x:c r="D74" s="306"/>
      <x:c r="E74" s="306"/>
      <x:c r="F74" s="306"/>
      <x:c r="G74" s="306"/>
      <x:c r="H74" s="306"/>
      <x:c r="I74" s="306"/>
      <x:c r="J74" s="306"/>
      <x:c r="K74" s="306"/>
      <x:c r="L74" s="306"/>
      <x:c r="M74" s="306"/>
      <x:c r="N74" s="306"/>
      <x:c r="O74" s="306"/>
      <x:c r="P74" s="306"/>
      <x:c r="Q74" s="306"/>
    </x:row>
    <x:row r="75">
      <x:c r="A75" s="306"/>
      <x:c r="B75" s="306"/>
      <x:c r="C75" s="306"/>
      <x:c r="D75" s="306"/>
      <x:c r="E75" s="306"/>
      <x:c r="F75" s="306"/>
      <x:c r="G75" s="306"/>
      <x:c r="H75" s="306"/>
      <x:c r="I75" s="306"/>
      <x:c r="J75" s="306"/>
      <x:c r="K75" s="306"/>
      <x:c r="L75" s="306"/>
      <x:c r="M75" s="306"/>
      <x:c r="N75" s="306"/>
      <x:c r="O75" s="306"/>
      <x:c r="P75" s="306"/>
      <x:c r="Q75" s="306"/>
    </x:row>
    <x:row r="76">
      <x:c r="A76" s="306"/>
      <x:c r="B76" s="306"/>
      <x:c r="C76" s="306"/>
      <x:c r="D76" s="306"/>
      <x:c r="E76" s="306"/>
      <x:c r="F76" s="306"/>
      <x:c r="G76" s="306"/>
      <x:c r="H76" s="306"/>
      <x:c r="I76" s="306"/>
      <x:c r="J76" s="306"/>
      <x:c r="K76" s="306"/>
      <x:c r="L76" s="306"/>
      <x:c r="M76" s="306"/>
      <x:c r="N76" s="306"/>
      <x:c r="O76" s="306"/>
      <x:c r="P76" s="306"/>
      <x:c r="Q76" s="306"/>
    </x:row>
    <x:row r="77">
      <x:c r="A77" s="306"/>
      <x:c r="B77" s="306"/>
      <x:c r="C77" s="306"/>
      <x:c r="D77" s="306"/>
      <x:c r="E77" s="306"/>
      <x:c r="F77" s="306"/>
      <x:c r="G77" s="306"/>
      <x:c r="H77" s="306"/>
      <x:c r="I77" s="306"/>
      <x:c r="J77" s="306"/>
      <x:c r="K77" s="306"/>
      <x:c r="L77" s="306"/>
      <x:c r="M77" s="306"/>
      <x:c r="N77" s="306"/>
      <x:c r="O77" s="306"/>
      <x:c r="P77" s="306"/>
      <x:c r="Q77" s="306"/>
    </x:row>
    <x:row r="78">
      <x:c r="A78" s="306"/>
      <x:c r="B78" s="306"/>
      <x:c r="C78" s="306"/>
      <x:c r="D78" s="306"/>
      <x:c r="E78" s="306"/>
      <x:c r="F78" s="306"/>
      <x:c r="G78" s="306"/>
      <x:c r="H78" s="306"/>
      <x:c r="I78" s="306"/>
      <x:c r="J78" s="306"/>
      <x:c r="K78" s="306"/>
      <x:c r="L78" s="306"/>
      <x:c r="M78" s="306"/>
      <x:c r="N78" s="306"/>
      <x:c r="O78" s="306"/>
      <x:c r="P78" s="306"/>
      <x:c r="Q78" s="306"/>
    </x:row>
    <x:row r="79">
      <x:c r="A79" s="306"/>
      <x:c r="B79" s="306"/>
      <x:c r="C79" s="306"/>
      <x:c r="D79" s="306"/>
      <x:c r="E79" s="306"/>
      <x:c r="F79" s="306"/>
      <x:c r="G79" s="306"/>
      <x:c r="H79" s="306"/>
      <x:c r="I79" s="306"/>
      <x:c r="J79" s="306"/>
      <x:c r="K79" s="306"/>
      <x:c r="L79" s="306"/>
      <x:c r="M79" s="306"/>
      <x:c r="N79" s="306"/>
      <x:c r="O79" s="306"/>
      <x:c r="P79" s="306"/>
      <x:c r="Q79" s="306"/>
    </x:row>
    <x:row r="80">
      <x:c r="A80" s="306"/>
      <x:c r="B80" s="306"/>
      <x:c r="C80" s="306"/>
      <x:c r="D80" s="306"/>
      <x:c r="E80" s="306"/>
      <x:c r="F80" s="306"/>
      <x:c r="G80" s="306"/>
      <x:c r="H80" s="306"/>
      <x:c r="I80" s="306"/>
      <x:c r="J80" s="306"/>
      <x:c r="K80" s="306"/>
      <x:c r="L80" s="306"/>
      <x:c r="M80" s="306"/>
      <x:c r="N80" s="306"/>
      <x:c r="O80" s="306"/>
      <x:c r="P80" s="306"/>
      <x:c r="Q80" s="306"/>
    </x:row>
    <x:row r="81">
      <x:c r="A81" s="306"/>
      <x:c r="B81" s="306"/>
      <x:c r="C81" s="306"/>
      <x:c r="D81" s="306"/>
      <x:c r="E81" s="306"/>
      <x:c r="F81" s="306"/>
      <x:c r="G81" s="306"/>
      <x:c r="H81" s="306"/>
      <x:c r="I81" s="306"/>
      <x:c r="J81" s="306"/>
      <x:c r="K81" s="306"/>
      <x:c r="L81" s="306"/>
      <x:c r="M81" s="306"/>
      <x:c r="N81" s="306"/>
      <x:c r="O81" s="306"/>
      <x:c r="P81" s="306"/>
      <x:c r="Q81" s="306"/>
    </x:row>
    <x:row r="82">
      <x:c r="A82" s="306"/>
      <x:c r="B82" s="306"/>
      <x:c r="C82" s="306"/>
      <x:c r="D82" s="306"/>
      <x:c r="E82" s="306"/>
      <x:c r="F82" s="306"/>
      <x:c r="G82" s="306"/>
      <x:c r="H82" s="306"/>
      <x:c r="I82" s="306"/>
      <x:c r="J82" s="306"/>
      <x:c r="K82" s="306"/>
      <x:c r="L82" s="306"/>
      <x:c r="M82" s="306"/>
      <x:c r="N82" s="306"/>
      <x:c r="O82" s="306"/>
      <x:c r="P82" s="306"/>
      <x:c r="Q82" s="306"/>
    </x:row>
    <x:row r="83">
      <x:c r="A83" s="306"/>
      <x:c r="B83" s="306"/>
      <x:c r="C83" s="306"/>
      <x:c r="D83" s="306"/>
      <x:c r="E83" s="306"/>
      <x:c r="F83" s="306"/>
      <x:c r="G83" s="306"/>
      <x:c r="H83" s="306"/>
      <x:c r="I83" s="306"/>
      <x:c r="J83" s="306"/>
      <x:c r="K83" s="306"/>
      <x:c r="L83" s="306"/>
      <x:c r="M83" s="306"/>
      <x:c r="N83" s="306"/>
      <x:c r="O83" s="306"/>
      <x:c r="P83" s="306"/>
      <x:c r="Q83" s="306"/>
    </x:row>
    <x:row r="84">
      <x:c r="A84" s="306"/>
      <x:c r="B84" s="306"/>
      <x:c r="C84" s="306"/>
      <x:c r="D84" s="306"/>
      <x:c r="E84" s="306"/>
      <x:c r="F84" s="306"/>
      <x:c r="G84" s="306"/>
      <x:c r="H84" s="306"/>
      <x:c r="I84" s="306"/>
      <x:c r="J84" s="306"/>
      <x:c r="K84" s="306"/>
      <x:c r="L84" s="306"/>
      <x:c r="M84" s="306"/>
      <x:c r="N84" s="306"/>
      <x:c r="O84" s="306"/>
      <x:c r="P84" s="306"/>
      <x:c r="Q84" s="306"/>
    </x:row>
    <x:row r="85">
      <x:c r="A85" s="306"/>
      <x:c r="B85" s="306"/>
      <x:c r="C85" s="306"/>
      <x:c r="D85" s="306"/>
      <x:c r="E85" s="306"/>
      <x:c r="F85" s="306"/>
      <x:c r="G85" s="306"/>
      <x:c r="H85" s="306"/>
      <x:c r="I85" s="306"/>
      <x:c r="J85" s="306"/>
      <x:c r="K85" s="306"/>
      <x:c r="L85" s="306"/>
      <x:c r="M85" s="306"/>
      <x:c r="N85" s="306"/>
      <x:c r="O85" s="306"/>
      <x:c r="P85" s="306"/>
      <x:c r="Q85" s="306"/>
    </x:row>
    <x:row r="86">
      <x:c r="A86" s="306"/>
      <x:c r="B86" s="306"/>
      <x:c r="C86" s="306"/>
      <x:c r="D86" s="306"/>
      <x:c r="E86" s="306"/>
      <x:c r="F86" s="306"/>
      <x:c r="G86" s="306"/>
      <x:c r="H86" s="306"/>
      <x:c r="I86" s="306"/>
      <x:c r="J86" s="306"/>
      <x:c r="K86" s="306"/>
      <x:c r="L86" s="306"/>
      <x:c r="M86" s="306"/>
      <x:c r="N86" s="306"/>
      <x:c r="O86" s="306"/>
      <x:c r="P86" s="306"/>
      <x:c r="Q86" s="306"/>
    </x:row>
    <x:row r="87">
      <x:c r="A87" s="306"/>
      <x:c r="B87" s="306"/>
      <x:c r="C87" s="306"/>
      <x:c r="D87" s="306"/>
      <x:c r="E87" s="306"/>
      <x:c r="F87" s="306"/>
      <x:c r="G87" s="306"/>
      <x:c r="H87" s="306"/>
      <x:c r="I87" s="306"/>
      <x:c r="J87" s="306"/>
      <x:c r="K87" s="306"/>
      <x:c r="L87" s="306"/>
      <x:c r="M87" s="306"/>
      <x:c r="N87" s="306"/>
      <x:c r="O87" s="306"/>
      <x:c r="P87" s="306"/>
      <x:c r="Q87" s="306"/>
    </x:row>
    <x:row r="88">
      <x:c r="A88" s="306"/>
      <x:c r="B88" s="306"/>
      <x:c r="C88" s="306"/>
      <x:c r="D88" s="306"/>
      <x:c r="E88" s="306"/>
      <x:c r="F88" s="306"/>
      <x:c r="G88" s="306"/>
      <x:c r="H88" s="306"/>
      <x:c r="I88" s="306"/>
      <x:c r="J88" s="306"/>
      <x:c r="K88" s="306"/>
      <x:c r="L88" s="306"/>
      <x:c r="M88" s="306"/>
      <x:c r="N88" s="306"/>
      <x:c r="O88" s="306"/>
      <x:c r="P88" s="306"/>
      <x:c r="Q88" s="306"/>
    </x:row>
    <x:row r="89">
      <x:c r="A89" s="306"/>
      <x:c r="B89" s="306"/>
      <x:c r="C89" s="306"/>
      <x:c r="D89" s="306"/>
      <x:c r="E89" s="306"/>
      <x:c r="F89" s="306"/>
      <x:c r="G89" s="306"/>
      <x:c r="H89" s="306"/>
      <x:c r="I89" s="306"/>
      <x:c r="J89" s="306"/>
      <x:c r="K89" s="306"/>
      <x:c r="L89" s="306"/>
      <x:c r="M89" s="306"/>
      <x:c r="N89" s="306"/>
      <x:c r="O89" s="306"/>
      <x:c r="P89" s="306"/>
      <x:c r="Q89" s="306"/>
    </x:row>
    <x:row r="90">
      <x:c r="A90" s="306"/>
      <x:c r="B90" s="306"/>
      <x:c r="C90" s="306"/>
      <x:c r="D90" s="306"/>
      <x:c r="E90" s="306"/>
      <x:c r="F90" s="306"/>
      <x:c r="G90" s="306"/>
      <x:c r="H90" s="306"/>
      <x:c r="I90" s="306"/>
      <x:c r="J90" s="306"/>
      <x:c r="K90" s="306"/>
      <x:c r="L90" s="306"/>
      <x:c r="M90" s="306"/>
      <x:c r="N90" s="306"/>
      <x:c r="O90" s="306"/>
      <x:c r="P90" s="306"/>
      <x:c r="Q90" s="306"/>
    </x:row>
    <x:row r="91">
      <x:c r="A91" s="306"/>
      <x:c r="B91" s="306"/>
      <x:c r="C91" s="306"/>
      <x:c r="D91" s="306"/>
      <x:c r="E91" s="306"/>
      <x:c r="F91" s="306"/>
      <x:c r="G91" s="306"/>
      <x:c r="H91" s="306"/>
      <x:c r="I91" s="306"/>
      <x:c r="J91" s="306"/>
      <x:c r="K91" s="306"/>
      <x:c r="L91" s="306"/>
      <x:c r="M91" s="306"/>
      <x:c r="N91" s="306"/>
      <x:c r="O91" s="306"/>
      <x:c r="P91" s="306"/>
      <x:c r="Q91" s="306"/>
    </x:row>
    <x:row r="92">
      <x:c r="A92" s="306"/>
      <x:c r="B92" s="306"/>
      <x:c r="C92" s="306"/>
      <x:c r="D92" s="306"/>
      <x:c r="E92" s="306"/>
      <x:c r="F92" s="306"/>
      <x:c r="G92" s="306"/>
      <x:c r="H92" s="306"/>
      <x:c r="I92" s="306"/>
      <x:c r="J92" s="306"/>
      <x:c r="K92" s="306"/>
      <x:c r="L92" s="306"/>
      <x:c r="M92" s="306"/>
      <x:c r="N92" s="306"/>
      <x:c r="O92" s="306"/>
      <x:c r="P92" s="306"/>
      <x:c r="Q92" s="306"/>
    </x:row>
    <x:row r="93">
      <x:c r="A93" s="306"/>
      <x:c r="B93" s="306"/>
      <x:c r="C93" s="306"/>
      <x:c r="D93" s="306"/>
      <x:c r="E93" s="306"/>
      <x:c r="F93" s="306"/>
      <x:c r="G93" s="306"/>
      <x:c r="H93" s="306"/>
      <x:c r="I93" s="306"/>
      <x:c r="J93" s="306"/>
      <x:c r="K93" s="306"/>
      <x:c r="L93" s="306"/>
      <x:c r="M93" s="306"/>
      <x:c r="N93" s="306"/>
      <x:c r="O93" s="306"/>
      <x:c r="P93" s="306"/>
      <x:c r="Q93" s="306"/>
    </x:row>
    <x:row r="94">
      <x:c r="A94" s="306"/>
      <x:c r="B94" s="306"/>
      <x:c r="C94" s="306"/>
      <x:c r="D94" s="306"/>
      <x:c r="E94" s="306"/>
      <x:c r="F94" s="306"/>
      <x:c r="G94" s="306"/>
      <x:c r="H94" s="306"/>
      <x:c r="I94" s="306"/>
      <x:c r="J94" s="306"/>
      <x:c r="K94" s="306"/>
      <x:c r="L94" s="306"/>
      <x:c r="M94" s="306"/>
      <x:c r="N94" s="306"/>
      <x:c r="O94" s="306"/>
      <x:c r="P94" s="306"/>
      <x:c r="Q94" s="306"/>
    </x:row>
    <x:row r="95">
      <x:c r="A95" s="306"/>
      <x:c r="B95" s="306"/>
      <x:c r="C95" s="306"/>
      <x:c r="D95" s="306"/>
      <x:c r="E95" s="306"/>
      <x:c r="F95" s="306"/>
      <x:c r="G95" s="306"/>
      <x:c r="H95" s="306"/>
      <x:c r="I95" s="306"/>
      <x:c r="J95" s="306"/>
      <x:c r="K95" s="306"/>
      <x:c r="L95" s="306"/>
      <x:c r="M95" s="306"/>
      <x:c r="N95" s="306"/>
      <x:c r="O95" s="306"/>
      <x:c r="P95" s="306"/>
      <x:c r="Q95" s="306"/>
    </x:row>
    <x:row r="96">
      <x:c r="A96" s="306"/>
      <x:c r="B96" s="306"/>
      <x:c r="C96" s="306"/>
      <x:c r="D96" s="306"/>
      <x:c r="E96" s="306"/>
      <x:c r="F96" s="306"/>
      <x:c r="G96" s="306"/>
      <x:c r="H96" s="306"/>
      <x:c r="I96" s="306"/>
      <x:c r="J96" s="306"/>
      <x:c r="K96" s="306"/>
      <x:c r="L96" s="306"/>
      <x:c r="M96" s="306"/>
      <x:c r="N96" s="306"/>
      <x:c r="O96" s="306"/>
      <x:c r="P96" s="306"/>
      <x:c r="Q96" s="306"/>
    </x:row>
    <x:row r="97">
      <x:c r="A97" s="306"/>
      <x:c r="B97" s="306"/>
      <x:c r="C97" s="306"/>
      <x:c r="D97" s="306"/>
      <x:c r="E97" s="306"/>
      <x:c r="F97" s="306"/>
      <x:c r="G97" s="306"/>
      <x:c r="H97" s="306"/>
      <x:c r="I97" s="306"/>
      <x:c r="J97" s="306"/>
      <x:c r="K97" s="306"/>
      <x:c r="L97" s="306"/>
      <x:c r="M97" s="306"/>
      <x:c r="N97" s="306"/>
      <x:c r="O97" s="306"/>
      <x:c r="P97" s="306"/>
      <x:c r="Q97" s="306"/>
    </x:row>
    <x:row r="98">
      <x:c r="A98" s="306"/>
      <x:c r="B98" s="306"/>
      <x:c r="C98" s="306"/>
      <x:c r="D98" s="306"/>
      <x:c r="E98" s="306"/>
      <x:c r="F98" s="306"/>
      <x:c r="G98" s="306"/>
      <x:c r="H98" s="306"/>
      <x:c r="I98" s="306"/>
      <x:c r="J98" s="306"/>
      <x:c r="K98" s="306"/>
      <x:c r="L98" s="306"/>
      <x:c r="M98" s="306"/>
      <x:c r="N98" s="306"/>
      <x:c r="O98" s="306"/>
      <x:c r="P98" s="306"/>
      <x:c r="Q98" s="306"/>
    </x:row>
    <x:row r="99">
      <x:c r="A99" s="306"/>
      <x:c r="B99" s="306"/>
      <x:c r="C99" s="306"/>
      <x:c r="D99" s="306"/>
      <x:c r="E99" s="306"/>
      <x:c r="F99" s="306"/>
      <x:c r="G99" s="306"/>
      <x:c r="H99" s="306"/>
      <x:c r="I99" s="306"/>
      <x:c r="J99" s="306"/>
      <x:c r="K99" s="306"/>
      <x:c r="L99" s="306"/>
      <x:c r="M99" s="306"/>
      <x:c r="N99" s="306"/>
      <x:c r="O99" s="306"/>
      <x:c r="P99" s="306"/>
      <x:c r="Q99" s="306"/>
    </x:row>
    <x:row r="100">
      <x:c r="A100" s="306"/>
      <x:c r="B100" s="306"/>
      <x:c r="C100" s="306"/>
      <x:c r="D100" s="306"/>
      <x:c r="E100" s="306"/>
      <x:c r="F100" s="306"/>
      <x:c r="G100" s="306"/>
      <x:c r="H100" s="306"/>
      <x:c r="I100" s="306"/>
      <x:c r="J100" s="306"/>
      <x:c r="K100" s="306"/>
      <x:c r="L100" s="306"/>
      <x:c r="M100" s="306"/>
      <x:c r="N100" s="306"/>
      <x:c r="O100" s="306"/>
      <x:c r="P100" s="306"/>
      <x:c r="Q100" s="306"/>
    </x:row>
    <x:row r="101">
      <x:c r="A101" s="306"/>
      <x:c r="B101" s="306"/>
      <x:c r="C101" s="306"/>
      <x:c r="D101" s="306"/>
      <x:c r="E101" s="306"/>
      <x:c r="F101" s="306"/>
      <x:c r="G101" s="306"/>
      <x:c r="H101" s="306"/>
      <x:c r="I101" s="306"/>
      <x:c r="J101" s="306"/>
      <x:c r="K101" s="306"/>
      <x:c r="L101" s="306"/>
      <x:c r="M101" s="306"/>
      <x:c r="N101" s="306"/>
      <x:c r="O101" s="306"/>
      <x:c r="P101" s="306"/>
      <x:c r="Q101" s="306"/>
    </x:row>
    <x:row r="102">
      <x:c r="A102" s="306"/>
      <x:c r="B102" s="306"/>
      <x:c r="C102" s="306"/>
      <x:c r="D102" s="306"/>
      <x:c r="E102" s="306"/>
      <x:c r="F102" s="306"/>
      <x:c r="G102" s="306"/>
      <x:c r="H102" s="306"/>
      <x:c r="I102" s="306"/>
      <x:c r="J102" s="306"/>
      <x:c r="K102" s="306"/>
      <x:c r="L102" s="306"/>
      <x:c r="M102" s="306"/>
      <x:c r="N102" s="306"/>
      <x:c r="O102" s="306"/>
      <x:c r="P102" s="306"/>
      <x:c r="Q102" s="306"/>
    </x:row>
    <x:row r="103">
      <x:c r="A103" s="306"/>
      <x:c r="B103" s="306"/>
      <x:c r="C103" s="306"/>
      <x:c r="D103" s="306"/>
      <x:c r="E103" s="306"/>
      <x:c r="F103" s="306"/>
      <x:c r="G103" s="306"/>
      <x:c r="H103" s="306"/>
      <x:c r="I103" s="306"/>
      <x:c r="J103" s="306"/>
      <x:c r="K103" s="306"/>
      <x:c r="L103" s="306"/>
      <x:c r="M103" s="306"/>
      <x:c r="N103" s="306"/>
      <x:c r="O103" s="306"/>
      <x:c r="P103" s="306"/>
      <x:c r="Q103" s="306"/>
    </x:row>
    <x:row r="104">
      <x:c r="A104" s="306"/>
      <x:c r="B104" s="306"/>
      <x:c r="C104" s="306"/>
      <x:c r="D104" s="306"/>
      <x:c r="E104" s="306"/>
      <x:c r="F104" s="306"/>
      <x:c r="G104" s="306"/>
      <x:c r="H104" s="306"/>
      <x:c r="I104" s="306"/>
      <x:c r="J104" s="306"/>
      <x:c r="K104" s="306"/>
      <x:c r="L104" s="306"/>
      <x:c r="M104" s="306"/>
      <x:c r="N104" s="306"/>
      <x:c r="O104" s="306"/>
      <x:c r="P104" s="306"/>
      <x:c r="Q104" s="306"/>
    </x:row>
    <x:row r="105">
      <x:c r="A105" s="306"/>
      <x:c r="B105" s="306"/>
      <x:c r="C105" s="306"/>
      <x:c r="D105" s="306"/>
      <x:c r="E105" s="306"/>
      <x:c r="F105" s="306"/>
      <x:c r="G105" s="306"/>
      <x:c r="H105" s="306"/>
      <x:c r="I105" s="306"/>
      <x:c r="J105" s="306"/>
      <x:c r="K105" s="306"/>
      <x:c r="L105" s="306"/>
      <x:c r="M105" s="306"/>
      <x:c r="N105" s="306"/>
      <x:c r="O105" s="306"/>
      <x:c r="P105" s="306"/>
      <x:c r="Q105" s="306"/>
    </x:row>
    <x:row r="106">
      <x:c r="A106" s="306"/>
      <x:c r="B106" s="306"/>
      <x:c r="C106" s="306"/>
      <x:c r="D106" s="306"/>
      <x:c r="E106" s="306"/>
      <x:c r="F106" s="306"/>
      <x:c r="G106" s="306"/>
      <x:c r="H106" s="306"/>
      <x:c r="I106" s="306"/>
      <x:c r="J106" s="306"/>
      <x:c r="K106" s="306"/>
      <x:c r="L106" s="306"/>
      <x:c r="M106" s="306"/>
      <x:c r="N106" s="306"/>
      <x:c r="O106" s="306"/>
      <x:c r="P106" s="306"/>
      <x:c r="Q106" s="306"/>
    </x:row>
    <x:row r="107">
      <x:c r="A107" s="306"/>
      <x:c r="B107" s="306"/>
      <x:c r="C107" s="306"/>
      <x:c r="D107" s="306"/>
      <x:c r="E107" s="306"/>
      <x:c r="F107" s="306"/>
      <x:c r="G107" s="306"/>
      <x:c r="H107" s="306"/>
      <x:c r="I107" s="306"/>
      <x:c r="J107" s="306"/>
      <x:c r="K107" s="306"/>
      <x:c r="L107" s="306"/>
      <x:c r="M107" s="306"/>
      <x:c r="N107" s="306"/>
      <x:c r="O107" s="306"/>
      <x:c r="P107" s="306"/>
      <x:c r="Q107" s="306"/>
    </x:row>
    <x:row r="108">
      <x:c r="A108" s="306"/>
      <x:c r="B108" s="306"/>
      <x:c r="C108" s="306"/>
      <x:c r="D108" s="306"/>
      <x:c r="E108" s="306"/>
      <x:c r="F108" s="306"/>
      <x:c r="G108" s="306"/>
      <x:c r="H108" s="306"/>
      <x:c r="I108" s="306"/>
      <x:c r="J108" s="306"/>
      <x:c r="K108" s="306"/>
      <x:c r="L108" s="306"/>
      <x:c r="M108" s="306"/>
      <x:c r="N108" s="306"/>
      <x:c r="O108" s="306"/>
      <x:c r="P108" s="306"/>
      <x:c r="Q108" s="306"/>
    </x:row>
    <x:row r="109">
      <x:c r="A109" s="306"/>
      <x:c r="B109" s="306"/>
      <x:c r="C109" s="306"/>
      <x:c r="D109" s="306"/>
      <x:c r="E109" s="306"/>
      <x:c r="F109" s="306"/>
      <x:c r="G109" s="306"/>
      <x:c r="H109" s="306"/>
      <x:c r="I109" s="306"/>
      <x:c r="J109" s="306"/>
      <x:c r="K109" s="306"/>
      <x:c r="L109" s="306"/>
      <x:c r="M109" s="306"/>
      <x:c r="N109" s="306"/>
      <x:c r="O109" s="306"/>
      <x:c r="P109" s="306"/>
      <x:c r="Q109" s="306"/>
    </x:row>
    <x:row r="110">
      <x:c r="A110" s="306"/>
      <x:c r="B110" s="306"/>
      <x:c r="C110" s="306"/>
      <x:c r="D110" s="306"/>
      <x:c r="E110" s="306"/>
      <x:c r="F110" s="306"/>
      <x:c r="G110" s="306"/>
      <x:c r="H110" s="306"/>
      <x:c r="I110" s="306"/>
      <x:c r="J110" s="306"/>
      <x:c r="K110" s="306"/>
      <x:c r="L110" s="306"/>
      <x:c r="M110" s="306"/>
      <x:c r="N110" s="306"/>
      <x:c r="O110" s="306"/>
      <x:c r="P110" s="306"/>
      <x:c r="Q110" s="306"/>
    </x:row>
    <x:row r="111">
      <x:c r="A111" s="306"/>
      <x:c r="B111" s="306"/>
      <x:c r="C111" s="306"/>
      <x:c r="D111" s="306"/>
      <x:c r="E111" s="306"/>
      <x:c r="F111" s="306"/>
      <x:c r="G111" s="306"/>
      <x:c r="H111" s="306"/>
      <x:c r="I111" s="306"/>
      <x:c r="J111" s="306"/>
      <x:c r="K111" s="306"/>
      <x:c r="L111" s="306"/>
      <x:c r="M111" s="306"/>
      <x:c r="N111" s="306"/>
      <x:c r="O111" s="306"/>
      <x:c r="P111" s="306"/>
      <x:c r="Q111" s="306"/>
    </x:row>
    <x:row r="112">
      <x:c r="A112" s="306"/>
      <x:c r="B112" s="306"/>
      <x:c r="C112" s="306"/>
      <x:c r="D112" s="306"/>
      <x:c r="E112" s="306"/>
      <x:c r="F112" s="306"/>
      <x:c r="G112" s="306"/>
      <x:c r="H112" s="306"/>
      <x:c r="I112" s="306"/>
      <x:c r="J112" s="306"/>
      <x:c r="K112" s="306"/>
      <x:c r="L112" s="306"/>
      <x:c r="M112" s="306"/>
      <x:c r="N112" s="306"/>
      <x:c r="O112" s="306"/>
      <x:c r="P112" s="306"/>
      <x:c r="Q112" s="306"/>
    </x:row>
    <x:row r="113">
      <x:c r="A113" s="306"/>
      <x:c r="B113" s="306"/>
      <x:c r="C113" s="306"/>
      <x:c r="D113" s="306"/>
      <x:c r="E113" s="306"/>
      <x:c r="F113" s="306"/>
      <x:c r="G113" s="306"/>
      <x:c r="H113" s="306"/>
      <x:c r="I113" s="306"/>
      <x:c r="J113" s="306"/>
      <x:c r="K113" s="306"/>
      <x:c r="L113" s="306"/>
      <x:c r="M113" s="306"/>
      <x:c r="N113" s="306"/>
      <x:c r="O113" s="306"/>
      <x:c r="P113" s="306"/>
      <x:c r="Q113" s="306"/>
    </x:row>
    <x:row r="114">
      <x:c r="A114" s="306"/>
      <x:c r="B114" s="306"/>
      <x:c r="C114" s="306"/>
      <x:c r="D114" s="306"/>
      <x:c r="E114" s="306"/>
      <x:c r="F114" s="306"/>
      <x:c r="G114" s="306"/>
      <x:c r="H114" s="306"/>
      <x:c r="I114" s="306"/>
      <x:c r="J114" s="306"/>
      <x:c r="K114" s="306"/>
      <x:c r="L114" s="306"/>
      <x:c r="M114" s="306"/>
      <x:c r="N114" s="306"/>
      <x:c r="O114" s="306"/>
      <x:c r="P114" s="306"/>
      <x:c r="Q114" s="306"/>
    </x:row>
    <x:row r="115">
      <x:c r="A115" s="306"/>
      <x:c r="B115" s="306"/>
      <x:c r="C115" s="306"/>
      <x:c r="D115" s="306"/>
      <x:c r="E115" s="306"/>
      <x:c r="F115" s="306"/>
      <x:c r="G115" s="306"/>
      <x:c r="H115" s="306"/>
      <x:c r="I115" s="306"/>
      <x:c r="J115" s="306"/>
      <x:c r="K115" s="306"/>
      <x:c r="L115" s="306"/>
      <x:c r="M115" s="306"/>
      <x:c r="N115" s="306"/>
      <x:c r="O115" s="306"/>
      <x:c r="P115" s="306"/>
      <x:c r="Q115" s="306"/>
    </x:row>
    <x:row r="116">
      <x:c r="A116" s="306"/>
      <x:c r="B116" s="306"/>
      <x:c r="C116" s="306"/>
      <x:c r="D116" s="306"/>
      <x:c r="E116" s="306"/>
      <x:c r="F116" s="306"/>
      <x:c r="G116" s="306"/>
      <x:c r="H116" s="306"/>
      <x:c r="I116" s="306"/>
      <x:c r="J116" s="306"/>
      <x:c r="K116" s="306"/>
      <x:c r="L116" s="306"/>
      <x:c r="M116" s="306"/>
      <x:c r="N116" s="306"/>
      <x:c r="O116" s="306"/>
      <x:c r="P116" s="306"/>
      <x:c r="Q116" s="306"/>
    </x:row>
    <x:row r="117">
      <x:c r="A117" s="306"/>
      <x:c r="B117" s="306"/>
      <x:c r="C117" s="306"/>
      <x:c r="D117" s="306"/>
      <x:c r="E117" s="306"/>
      <x:c r="F117" s="306"/>
      <x:c r="G117" s="306"/>
      <x:c r="H117" s="306"/>
      <x:c r="I117" s="306"/>
      <x:c r="J117" s="306"/>
      <x:c r="K117" s="306"/>
      <x:c r="L117" s="306"/>
      <x:c r="M117" s="306"/>
      <x:c r="N117" s="306"/>
      <x:c r="O117" s="306"/>
      <x:c r="P117" s="306"/>
      <x:c r="Q117" s="306"/>
    </x:row>
    <x:row r="118">
      <x:c r="A118" s="306"/>
      <x:c r="B118" s="306"/>
      <x:c r="C118" s="306"/>
      <x:c r="D118" s="306"/>
      <x:c r="E118" s="306"/>
      <x:c r="F118" s="306"/>
      <x:c r="G118" s="306"/>
      <x:c r="H118" s="306"/>
      <x:c r="I118" s="306"/>
      <x:c r="J118" s="306"/>
      <x:c r="K118" s="306"/>
      <x:c r="L118" s="306"/>
      <x:c r="M118" s="306"/>
      <x:c r="N118" s="306"/>
      <x:c r="O118" s="306"/>
      <x:c r="P118" s="306"/>
      <x:c r="Q118" s="306"/>
    </x:row>
    <x:row r="119">
      <x:c r="A119" s="306"/>
      <x:c r="B119" s="306"/>
      <x:c r="C119" s="306"/>
      <x:c r="D119" s="306"/>
      <x:c r="E119" s="306"/>
      <x:c r="F119" s="306"/>
      <x:c r="G119" s="306"/>
      <x:c r="H119" s="306"/>
      <x:c r="I119" s="306"/>
      <x:c r="J119" s="306"/>
      <x:c r="K119" s="306"/>
      <x:c r="L119" s="306"/>
      <x:c r="M119" s="306"/>
      <x:c r="N119" s="306"/>
      <x:c r="O119" s="306"/>
      <x:c r="P119" s="306"/>
      <x:c r="Q119" s="306"/>
    </x:row>
    <x:row r="120">
      <x:c r="A120" s="306"/>
      <x:c r="B120" s="306"/>
      <x:c r="C120" s="306"/>
      <x:c r="D120" s="306"/>
      <x:c r="E120" s="306"/>
      <x:c r="F120" s="306"/>
      <x:c r="G120" s="306"/>
      <x:c r="H120" s="306"/>
      <x:c r="I120" s="306"/>
      <x:c r="J120" s="306"/>
      <x:c r="K120" s="306"/>
      <x:c r="L120" s="306"/>
      <x:c r="M120" s="306"/>
      <x:c r="N120" s="306"/>
      <x:c r="O120" s="306"/>
      <x:c r="P120" s="306"/>
      <x:c r="Q120" s="306"/>
    </x:row>
    <x:row r="121">
      <x:c r="A121" s="306"/>
      <x:c r="B121" s="306"/>
      <x:c r="C121" s="306"/>
      <x:c r="D121" s="306"/>
      <x:c r="E121" s="306"/>
      <x:c r="F121" s="306"/>
      <x:c r="G121" s="306"/>
      <x:c r="H121" s="306"/>
      <x:c r="I121" s="306"/>
      <x:c r="J121" s="306"/>
      <x:c r="K121" s="306"/>
      <x:c r="L121" s="306"/>
      <x:c r="M121" s="306"/>
      <x:c r="N121" s="306"/>
      <x:c r="O121" s="306"/>
      <x:c r="P121" s="306"/>
      <x:c r="Q121" s="306"/>
    </x:row>
    <x:row r="122">
      <x:c r="A122" s="306"/>
      <x:c r="B122" s="306"/>
      <x:c r="C122" s="306"/>
      <x:c r="D122" s="306"/>
      <x:c r="E122" s="306"/>
      <x:c r="F122" s="306"/>
      <x:c r="G122" s="306"/>
      <x:c r="H122" s="306"/>
      <x:c r="I122" s="306"/>
      <x:c r="J122" s="306"/>
      <x:c r="K122" s="306"/>
      <x:c r="L122" s="306"/>
      <x:c r="M122" s="306"/>
      <x:c r="N122" s="306"/>
      <x:c r="O122" s="306"/>
      <x:c r="P122" s="306"/>
      <x:c r="Q122" s="306"/>
    </x:row>
    <x:row r="123">
      <x:c r="A123" s="306"/>
      <x:c r="B123" s="306"/>
      <x:c r="C123" s="306"/>
      <x:c r="D123" s="306"/>
      <x:c r="E123" s="306"/>
      <x:c r="F123" s="306"/>
      <x:c r="G123" s="306"/>
      <x:c r="H123" s="306"/>
      <x:c r="I123" s="306"/>
      <x:c r="J123" s="306"/>
      <x:c r="K123" s="306"/>
      <x:c r="L123" s="306"/>
      <x:c r="M123" s="306"/>
      <x:c r="N123" s="306"/>
      <x:c r="O123" s="306"/>
      <x:c r="P123" s="306"/>
      <x:c r="Q123" s="306"/>
    </x:row>
    <x:row r="124">
      <x:c r="A124" s="306"/>
      <x:c r="B124" s="306"/>
      <x:c r="C124" s="306"/>
      <x:c r="D124" s="306"/>
      <x:c r="E124" s="306"/>
      <x:c r="F124" s="306"/>
      <x:c r="G124" s="306"/>
      <x:c r="H124" s="306"/>
      <x:c r="I124" s="306"/>
      <x:c r="J124" s="306"/>
      <x:c r="K124" s="306"/>
      <x:c r="L124" s="306"/>
      <x:c r="M124" s="306"/>
      <x:c r="N124" s="306"/>
      <x:c r="O124" s="306"/>
      <x:c r="P124" s="306"/>
      <x:c r="Q124" s="306"/>
    </x:row>
    <x:row r="125">
      <x:c r="A125" s="306"/>
      <x:c r="B125" s="306"/>
      <x:c r="C125" s="306"/>
      <x:c r="D125" s="306"/>
      <x:c r="E125" s="306"/>
      <x:c r="F125" s="306"/>
      <x:c r="G125" s="306"/>
      <x:c r="H125" s="306"/>
      <x:c r="I125" s="306"/>
      <x:c r="J125" s="306"/>
      <x:c r="K125" s="306"/>
      <x:c r="L125" s="306"/>
      <x:c r="M125" s="306"/>
      <x:c r="N125" s="306"/>
      <x:c r="O125" s="306"/>
      <x:c r="P125" s="306"/>
      <x:c r="Q125" s="306"/>
    </x:row>
    <x:row r="126">
      <x:c r="A126" s="306"/>
      <x:c r="B126" s="306"/>
      <x:c r="C126" s="306"/>
      <x:c r="D126" s="306"/>
      <x:c r="E126" s="306"/>
      <x:c r="F126" s="306"/>
      <x:c r="G126" s="306"/>
      <x:c r="H126" s="306"/>
      <x:c r="I126" s="306"/>
      <x:c r="J126" s="306"/>
      <x:c r="K126" s="306"/>
      <x:c r="L126" s="306"/>
      <x:c r="M126" s="306"/>
      <x:c r="N126" s="306"/>
      <x:c r="O126" s="306"/>
      <x:c r="P126" s="306"/>
      <x:c r="Q126" s="306"/>
    </x:row>
    <x:row r="127">
      <x:c r="A127" s="306"/>
      <x:c r="B127" s="306"/>
      <x:c r="C127" s="306"/>
      <x:c r="D127" s="306"/>
      <x:c r="E127" s="306"/>
      <x:c r="F127" s="306"/>
      <x:c r="G127" s="306"/>
      <x:c r="H127" s="306"/>
      <x:c r="I127" s="306"/>
      <x:c r="J127" s="306"/>
      <x:c r="K127" s="306"/>
      <x:c r="L127" s="306"/>
      <x:c r="M127" s="306"/>
      <x:c r="N127" s="306"/>
      <x:c r="O127" s="306"/>
      <x:c r="P127" s="306"/>
      <x:c r="Q127" s="306"/>
    </x:row>
    <x:row r="128">
      <x:c r="A128" s="306"/>
      <x:c r="B128" s="306"/>
      <x:c r="C128" s="306"/>
      <x:c r="D128" s="306"/>
      <x:c r="E128" s="306"/>
      <x:c r="F128" s="306"/>
      <x:c r="G128" s="306"/>
      <x:c r="H128" s="306"/>
      <x:c r="I128" s="306"/>
      <x:c r="J128" s="306"/>
      <x:c r="K128" s="306"/>
      <x:c r="L128" s="306"/>
      <x:c r="M128" s="306"/>
      <x:c r="N128" s="306"/>
      <x:c r="O128" s="306"/>
      <x:c r="P128" s="306"/>
      <x:c r="Q128" s="306"/>
    </x:row>
    <x:row r="129">
      <x:c r="A129" s="306"/>
      <x:c r="B129" s="306"/>
      <x:c r="C129" s="306"/>
      <x:c r="D129" s="306"/>
      <x:c r="E129" s="306"/>
      <x:c r="F129" s="306"/>
      <x:c r="G129" s="306"/>
      <x:c r="H129" s="306"/>
      <x:c r="I129" s="306"/>
      <x:c r="J129" s="306"/>
      <x:c r="K129" s="306"/>
      <x:c r="L129" s="306"/>
      <x:c r="M129" s="306"/>
      <x:c r="N129" s="306"/>
      <x:c r="O129" s="306"/>
      <x:c r="P129" s="306"/>
      <x:c r="Q129" s="306"/>
    </x:row>
    <x:row r="130">
      <x:c r="A130" s="306"/>
      <x:c r="B130" s="306"/>
      <x:c r="C130" s="306"/>
      <x:c r="D130" s="306"/>
      <x:c r="E130" s="306"/>
      <x:c r="F130" s="306"/>
      <x:c r="G130" s="306"/>
      <x:c r="H130" s="306"/>
      <x:c r="I130" s="306"/>
      <x:c r="J130" s="306"/>
      <x:c r="K130" s="306"/>
      <x:c r="L130" s="306"/>
      <x:c r="M130" s="306"/>
      <x:c r="N130" s="306"/>
      <x:c r="O130" s="306"/>
      <x:c r="P130" s="306"/>
      <x:c r="Q130" s="306"/>
    </x:row>
    <x:row r="131">
      <x:c r="A131" s="306"/>
      <x:c r="B131" s="306"/>
      <x:c r="C131" s="306"/>
      <x:c r="D131" s="306"/>
      <x:c r="E131" s="306"/>
      <x:c r="F131" s="306"/>
      <x:c r="G131" s="306"/>
      <x:c r="H131" s="306"/>
      <x:c r="I131" s="306"/>
      <x:c r="J131" s="306"/>
      <x:c r="K131" s="306"/>
      <x:c r="L131" s="306"/>
      <x:c r="M131" s="306"/>
      <x:c r="N131" s="306"/>
      <x:c r="O131" s="306"/>
      <x:c r="P131" s="306"/>
      <x:c r="Q131" s="306"/>
    </x:row>
    <x:row r="132">
      <x:c r="A132" s="306"/>
      <x:c r="B132" s="306"/>
      <x:c r="C132" s="306"/>
      <x:c r="D132" s="306"/>
      <x:c r="E132" s="306"/>
      <x:c r="F132" s="306"/>
      <x:c r="G132" s="306"/>
      <x:c r="H132" s="306"/>
      <x:c r="I132" s="306"/>
      <x:c r="J132" s="306"/>
      <x:c r="K132" s="306"/>
      <x:c r="L132" s="306"/>
      <x:c r="M132" s="306"/>
      <x:c r="N132" s="306"/>
      <x:c r="O132" s="306"/>
      <x:c r="P132" s="306"/>
      <x:c r="Q132" s="306"/>
    </x:row>
    <x:row r="133">
      <x:c r="A133" s="306"/>
      <x:c r="B133" s="306"/>
      <x:c r="C133" s="306"/>
      <x:c r="D133" s="306"/>
      <x:c r="E133" s="306"/>
      <x:c r="F133" s="306"/>
      <x:c r="G133" s="306"/>
      <x:c r="H133" s="306"/>
      <x:c r="I133" s="306"/>
      <x:c r="J133" s="306"/>
      <x:c r="K133" s="306"/>
      <x:c r="L133" s="306"/>
      <x:c r="M133" s="306"/>
      <x:c r="N133" s="306"/>
      <x:c r="O133" s="306"/>
      <x:c r="P133" s="306"/>
      <x:c r="Q133" s="306"/>
    </x:row>
    <x:row r="134">
      <x:c r="A134" s="306"/>
      <x:c r="B134" s="306"/>
      <x:c r="C134" s="306"/>
      <x:c r="D134" s="306"/>
      <x:c r="E134" s="306"/>
      <x:c r="F134" s="306"/>
      <x:c r="G134" s="306"/>
      <x:c r="H134" s="306"/>
      <x:c r="I134" s="306"/>
      <x:c r="J134" s="306"/>
      <x:c r="K134" s="306"/>
      <x:c r="L134" s="306"/>
      <x:c r="M134" s="306"/>
      <x:c r="N134" s="306"/>
      <x:c r="O134" s="306"/>
      <x:c r="P134" s="306"/>
      <x:c r="Q134" s="306"/>
    </x:row>
    <x:row r="135">
      <x:c r="A135" s="306"/>
      <x:c r="B135" s="306"/>
      <x:c r="C135" s="306"/>
      <x:c r="D135" s="306"/>
      <x:c r="E135" s="306"/>
      <x:c r="F135" s="306"/>
      <x:c r="G135" s="306"/>
      <x:c r="H135" s="306"/>
      <x:c r="I135" s="306"/>
      <x:c r="J135" s="306"/>
      <x:c r="K135" s="306"/>
      <x:c r="L135" s="306"/>
      <x:c r="M135" s="306"/>
      <x:c r="N135" s="306"/>
      <x:c r="O135" s="306"/>
      <x:c r="P135" s="306"/>
      <x:c r="Q135" s="306"/>
    </x:row>
    <x:row r="136">
      <x:c r="A136" s="306"/>
      <x:c r="B136" s="306"/>
      <x:c r="C136" s="306"/>
      <x:c r="D136" s="306"/>
      <x:c r="E136" s="306"/>
      <x:c r="F136" s="306"/>
      <x:c r="G136" s="306"/>
      <x:c r="H136" s="306"/>
      <x:c r="I136" s="306"/>
      <x:c r="J136" s="306"/>
      <x:c r="K136" s="306"/>
      <x:c r="L136" s="306"/>
      <x:c r="M136" s="306"/>
      <x:c r="N136" s="306"/>
      <x:c r="O136" s="306"/>
      <x:c r="P136" s="306"/>
      <x:c r="Q136" s="306"/>
    </x:row>
    <x:row r="137">
      <x:c r="A137" s="306"/>
      <x:c r="B137" s="306"/>
      <x:c r="C137" s="306"/>
      <x:c r="D137" s="306"/>
      <x:c r="E137" s="306"/>
      <x:c r="F137" s="306"/>
      <x:c r="G137" s="306"/>
      <x:c r="H137" s="306"/>
      <x:c r="I137" s="306"/>
      <x:c r="J137" s="306"/>
      <x:c r="K137" s="306"/>
      <x:c r="L137" s="306"/>
      <x:c r="M137" s="306"/>
      <x:c r="N137" s="306"/>
      <x:c r="O137" s="306"/>
      <x:c r="P137" s="306"/>
      <x:c r="Q137" s="306"/>
    </x:row>
    <x:row r="138">
      <x:c r="A138" s="306"/>
      <x:c r="B138" s="306"/>
      <x:c r="C138" s="306"/>
      <x:c r="D138" s="306"/>
      <x:c r="E138" s="306"/>
      <x:c r="F138" s="306"/>
      <x:c r="G138" s="306"/>
      <x:c r="H138" s="306"/>
      <x:c r="I138" s="306"/>
      <x:c r="J138" s="306"/>
      <x:c r="K138" s="306"/>
      <x:c r="L138" s="306"/>
      <x:c r="M138" s="306"/>
      <x:c r="N138" s="306"/>
      <x:c r="O138" s="306"/>
      <x:c r="P138" s="306"/>
      <x:c r="Q138" s="306"/>
    </x:row>
    <x:row r="139">
      <x:c r="A139" s="306"/>
      <x:c r="B139" s="306"/>
      <x:c r="C139" s="306"/>
      <x:c r="D139" s="306"/>
      <x:c r="E139" s="306"/>
      <x:c r="F139" s="306"/>
      <x:c r="G139" s="306"/>
      <x:c r="H139" s="306"/>
      <x:c r="I139" s="306"/>
      <x:c r="J139" s="306"/>
      <x:c r="K139" s="306"/>
      <x:c r="L139" s="306"/>
      <x:c r="M139" s="306"/>
      <x:c r="N139" s="306"/>
      <x:c r="O139" s="306"/>
      <x:c r="P139" s="306"/>
      <x:c r="Q139" s="306"/>
    </x:row>
    <x:row r="140">
      <x:c r="A140" s="306"/>
      <x:c r="B140" s="306"/>
      <x:c r="C140" s="306"/>
      <x:c r="D140" s="306"/>
      <x:c r="E140" s="306"/>
      <x:c r="F140" s="306"/>
      <x:c r="G140" s="306"/>
      <x:c r="H140" s="306"/>
      <x:c r="I140" s="306"/>
      <x:c r="J140" s="306"/>
      <x:c r="K140" s="306"/>
      <x:c r="L140" s="306"/>
      <x:c r="M140" s="306"/>
      <x:c r="N140" s="306"/>
      <x:c r="O140" s="306"/>
      <x:c r="P140" s="306"/>
      <x:c r="Q140" s="306"/>
    </x:row>
    <x:row r="141">
      <x:c r="A141" s="306"/>
      <x:c r="B141" s="306"/>
      <x:c r="C141" s="306"/>
      <x:c r="D141" s="306"/>
      <x:c r="E141" s="306"/>
      <x:c r="F141" s="306"/>
      <x:c r="G141" s="306"/>
      <x:c r="H141" s="306"/>
      <x:c r="I141" s="306"/>
      <x:c r="J141" s="306"/>
      <x:c r="K141" s="306"/>
      <x:c r="L141" s="306"/>
      <x:c r="M141" s="306"/>
      <x:c r="N141" s="306"/>
      <x:c r="O141" s="306"/>
      <x:c r="P141" s="306"/>
      <x:c r="Q141" s="306"/>
    </x:row>
    <x:row r="142">
      <x:c r="A142" s="306"/>
      <x:c r="B142" s="306"/>
      <x:c r="C142" s="306"/>
      <x:c r="D142" s="306"/>
      <x:c r="E142" s="306"/>
      <x:c r="F142" s="306"/>
      <x:c r="G142" s="306"/>
      <x:c r="H142" s="306"/>
      <x:c r="I142" s="306"/>
      <x:c r="J142" s="306"/>
      <x:c r="K142" s="306"/>
      <x:c r="L142" s="306"/>
      <x:c r="M142" s="306"/>
      <x:c r="N142" s="306"/>
      <x:c r="O142" s="306"/>
      <x:c r="P142" s="306"/>
      <x:c r="Q142" s="306"/>
    </x:row>
    <x:row r="143">
      <x:c r="A143" s="306"/>
      <x:c r="B143" s="306"/>
      <x:c r="C143" s="306"/>
      <x:c r="D143" s="306"/>
      <x:c r="E143" s="306"/>
      <x:c r="F143" s="306"/>
      <x:c r="G143" s="306"/>
      <x:c r="H143" s="306"/>
      <x:c r="I143" s="306"/>
      <x:c r="J143" s="306"/>
      <x:c r="K143" s="306"/>
      <x:c r="L143" s="306"/>
      <x:c r="M143" s="306"/>
      <x:c r="N143" s="306"/>
      <x:c r="O143" s="306"/>
      <x:c r="P143" s="306"/>
      <x:c r="Q143" s="306"/>
    </x:row>
    <x:row r="144">
      <x:c r="A144" s="306"/>
      <x:c r="B144" s="306"/>
      <x:c r="C144" s="306"/>
      <x:c r="D144" s="306"/>
      <x:c r="E144" s="306"/>
      <x:c r="F144" s="306"/>
      <x:c r="G144" s="306"/>
      <x:c r="H144" s="306"/>
      <x:c r="I144" s="306"/>
      <x:c r="J144" s="306"/>
      <x:c r="K144" s="306"/>
      <x:c r="L144" s="306"/>
      <x:c r="M144" s="306"/>
      <x:c r="N144" s="306"/>
      <x:c r="O144" s="306"/>
      <x:c r="P144" s="306"/>
      <x:c r="Q144" s="306"/>
    </x:row>
    <x:row r="145">
      <x:c r="A145" s="306"/>
      <x:c r="B145" s="306"/>
      <x:c r="C145" s="306"/>
      <x:c r="D145" s="306"/>
      <x:c r="E145" s="306"/>
      <x:c r="F145" s="306"/>
      <x:c r="G145" s="306"/>
      <x:c r="H145" s="306"/>
      <x:c r="I145" s="306"/>
      <x:c r="J145" s="306"/>
      <x:c r="K145" s="306"/>
      <x:c r="L145" s="306"/>
      <x:c r="M145" s="306"/>
      <x:c r="N145" s="306"/>
      <x:c r="O145" s="306"/>
      <x:c r="P145" s="306"/>
      <x:c r="Q145" s="306"/>
    </x:row>
    <x:row r="146">
      <x:c r="A146" s="306"/>
      <x:c r="B146" s="306"/>
      <x:c r="C146" s="306"/>
      <x:c r="D146" s="306"/>
      <x:c r="E146" s="306"/>
      <x:c r="F146" s="306"/>
      <x:c r="G146" s="306"/>
      <x:c r="H146" s="306"/>
      <x:c r="I146" s="306"/>
      <x:c r="J146" s="306"/>
      <x:c r="K146" s="306"/>
      <x:c r="L146" s="306"/>
      <x:c r="M146" s="306"/>
      <x:c r="N146" s="306"/>
      <x:c r="O146" s="306"/>
      <x:c r="P146" s="306"/>
      <x:c r="Q146" s="306"/>
    </x:row>
    <x:row r="147">
      <x:c r="A147" s="306"/>
      <x:c r="B147" s="306"/>
      <x:c r="C147" s="306"/>
      <x:c r="D147" s="306"/>
      <x:c r="E147" s="306"/>
      <x:c r="F147" s="306"/>
      <x:c r="G147" s="306"/>
      <x:c r="H147" s="306"/>
      <x:c r="I147" s="306"/>
      <x:c r="J147" s="306"/>
      <x:c r="K147" s="306"/>
      <x:c r="L147" s="306"/>
      <x:c r="M147" s="306"/>
      <x:c r="N147" s="306"/>
      <x:c r="O147" s="306"/>
      <x:c r="P147" s="306"/>
      <x:c r="Q147" s="306"/>
    </x:row>
    <x:row r="148">
      <x:c r="A148" s="306"/>
      <x:c r="B148" s="306"/>
      <x:c r="C148" s="306"/>
      <x:c r="D148" s="306"/>
      <x:c r="E148" s="306"/>
      <x:c r="F148" s="306"/>
      <x:c r="G148" s="306"/>
      <x:c r="H148" s="306"/>
      <x:c r="I148" s="306"/>
      <x:c r="J148" s="306"/>
      <x:c r="K148" s="306"/>
      <x:c r="L148" s="306"/>
      <x:c r="M148" s="306"/>
      <x:c r="N148" s="306"/>
      <x:c r="O148" s="306"/>
      <x:c r="P148" s="306"/>
      <x:c r="Q148" s="306"/>
    </x:row>
    <x:row r="149">
      <x:c r="A149" s="306"/>
      <x:c r="B149" s="306"/>
      <x:c r="C149" s="306"/>
      <x:c r="D149" s="306"/>
      <x:c r="E149" s="306"/>
      <x:c r="F149" s="306"/>
      <x:c r="G149" s="306"/>
      <x:c r="H149" s="306"/>
      <x:c r="I149" s="306"/>
      <x:c r="J149" s="306"/>
      <x:c r="K149" s="306"/>
      <x:c r="L149" s="306"/>
      <x:c r="M149" s="306"/>
      <x:c r="N149" s="306"/>
      <x:c r="O149" s="306"/>
      <x:c r="P149" s="306"/>
      <x:c r="Q149" s="306"/>
    </x:row>
    <x:row r="150">
      <x:c r="A150" s="306"/>
      <x:c r="B150" s="306"/>
      <x:c r="C150" s="306"/>
      <x:c r="D150" s="306"/>
      <x:c r="E150" s="306"/>
      <x:c r="F150" s="306"/>
      <x:c r="G150" s="306"/>
      <x:c r="H150" s="306"/>
      <x:c r="I150" s="306"/>
      <x:c r="J150" s="306"/>
      <x:c r="K150" s="306"/>
      <x:c r="L150" s="306"/>
      <x:c r="M150" s="306"/>
      <x:c r="N150" s="306"/>
      <x:c r="O150" s="306"/>
      <x:c r="P150" s="306"/>
      <x:c r="Q150" s="306"/>
    </x:row>
    <x:row r="151">
      <x:c r="A151" s="306"/>
      <x:c r="B151" s="306"/>
      <x:c r="C151" s="306"/>
      <x:c r="D151" s="306"/>
      <x:c r="E151" s="306"/>
      <x:c r="F151" s="306"/>
      <x:c r="G151" s="306"/>
      <x:c r="H151" s="306"/>
      <x:c r="I151" s="306"/>
      <x:c r="J151" s="306"/>
      <x:c r="K151" s="306"/>
      <x:c r="L151" s="306"/>
      <x:c r="M151" s="306"/>
      <x:c r="N151" s="306"/>
      <x:c r="O151" s="306"/>
      <x:c r="P151" s="306"/>
      <x:c r="Q151" s="306"/>
    </x:row>
    <x:row r="152">
      <x:c r="A152" s="306"/>
      <x:c r="B152" s="306"/>
      <x:c r="C152" s="306"/>
      <x:c r="D152" s="306"/>
      <x:c r="E152" s="306"/>
      <x:c r="F152" s="306"/>
      <x:c r="G152" s="306"/>
      <x:c r="H152" s="306"/>
      <x:c r="I152" s="306"/>
      <x:c r="J152" s="306"/>
      <x:c r="K152" s="306"/>
      <x:c r="L152" s="306"/>
      <x:c r="M152" s="306"/>
      <x:c r="N152" s="306"/>
      <x:c r="O152" s="306"/>
      <x:c r="P152" s="306"/>
      <x:c r="Q152" s="306"/>
    </x:row>
    <x:row r="153">
      <x:c r="A153" s="306"/>
      <x:c r="B153" s="306"/>
      <x:c r="C153" s="306"/>
      <x:c r="D153" s="306"/>
      <x:c r="E153" s="306"/>
      <x:c r="F153" s="306"/>
      <x:c r="G153" s="306"/>
      <x:c r="H153" s="306"/>
      <x:c r="I153" s="306"/>
      <x:c r="J153" s="306"/>
      <x:c r="K153" s="306"/>
      <x:c r="L153" s="306"/>
      <x:c r="M153" s="306"/>
      <x:c r="N153" s="306"/>
      <x:c r="O153" s="306"/>
      <x:c r="P153" s="306"/>
      <x:c r="Q153" s="306"/>
    </x:row>
    <x:row r="154">
      <x:c r="A154" s="306"/>
      <x:c r="B154" s="306"/>
      <x:c r="C154" s="306"/>
      <x:c r="D154" s="306"/>
      <x:c r="E154" s="306"/>
      <x:c r="F154" s="306"/>
      <x:c r="G154" s="306"/>
      <x:c r="H154" s="306"/>
      <x:c r="I154" s="306"/>
      <x:c r="J154" s="306"/>
      <x:c r="K154" s="306"/>
      <x:c r="L154" s="306"/>
      <x:c r="M154" s="306"/>
      <x:c r="N154" s="306"/>
      <x:c r="O154" s="306"/>
      <x:c r="P154" s="306"/>
      <x:c r="Q154" s="306"/>
    </x:row>
    <x:row r="155">
      <x:c r="A155" s="306"/>
      <x:c r="B155" s="306"/>
      <x:c r="C155" s="306"/>
      <x:c r="D155" s="306"/>
      <x:c r="E155" s="306"/>
      <x:c r="F155" s="306"/>
      <x:c r="G155" s="306"/>
      <x:c r="H155" s="306"/>
      <x:c r="I155" s="306"/>
      <x:c r="J155" s="306"/>
      <x:c r="K155" s="306"/>
      <x:c r="L155" s="306"/>
      <x:c r="M155" s="306"/>
      <x:c r="N155" s="306"/>
      <x:c r="O155" s="306"/>
      <x:c r="P155" s="306"/>
      <x:c r="Q155" s="306"/>
    </x:row>
    <x:row r="156">
      <x:c r="A156" s="306"/>
      <x:c r="B156" s="306"/>
      <x:c r="C156" s="306"/>
      <x:c r="D156" s="306"/>
      <x:c r="E156" s="306"/>
      <x:c r="F156" s="306"/>
      <x:c r="G156" s="306"/>
      <x:c r="H156" s="306"/>
      <x:c r="I156" s="306"/>
      <x:c r="J156" s="306"/>
      <x:c r="K156" s="306"/>
      <x:c r="L156" s="306"/>
      <x:c r="M156" s="306"/>
      <x:c r="N156" s="306"/>
      <x:c r="O156" s="306"/>
      <x:c r="P156" s="306"/>
      <x:c r="Q156" s="306"/>
    </x:row>
    <x:row r="157">
      <x:c r="A157" s="306"/>
      <x:c r="B157" s="306"/>
      <x:c r="C157" s="306"/>
      <x:c r="D157" s="306"/>
      <x:c r="E157" s="306"/>
      <x:c r="F157" s="306"/>
      <x:c r="G157" s="306"/>
      <x:c r="H157" s="306"/>
      <x:c r="I157" s="306"/>
      <x:c r="J157" s="306"/>
      <x:c r="K157" s="306"/>
      <x:c r="L157" s="306"/>
      <x:c r="M157" s="306"/>
      <x:c r="N157" s="306"/>
      <x:c r="O157" s="306"/>
      <x:c r="P157" s="306"/>
      <x:c r="Q157" s="306"/>
    </x:row>
    <x:row r="158">
      <x:c r="A158" s="306"/>
      <x:c r="B158" s="306"/>
      <x:c r="C158" s="306"/>
      <x:c r="D158" s="306"/>
      <x:c r="E158" s="306"/>
      <x:c r="F158" s="306"/>
      <x:c r="G158" s="306"/>
      <x:c r="H158" s="306"/>
      <x:c r="I158" s="306"/>
      <x:c r="J158" s="306"/>
      <x:c r="K158" s="306"/>
      <x:c r="L158" s="306"/>
      <x:c r="M158" s="306"/>
      <x:c r="N158" s="306"/>
      <x:c r="O158" s="306"/>
      <x:c r="P158" s="306"/>
      <x:c r="Q158" s="306"/>
    </x:row>
    <x:row r="159">
      <x:c r="A159" s="306"/>
      <x:c r="B159" s="306"/>
      <x:c r="C159" s="306"/>
      <x:c r="D159" s="306"/>
      <x:c r="E159" s="306"/>
      <x:c r="F159" s="306"/>
      <x:c r="G159" s="306"/>
      <x:c r="H159" s="306"/>
      <x:c r="I159" s="306"/>
      <x:c r="J159" s="306"/>
      <x:c r="K159" s="306"/>
      <x:c r="L159" s="306"/>
      <x:c r="M159" s="306"/>
      <x:c r="N159" s="306"/>
      <x:c r="O159" s="306"/>
      <x:c r="P159" s="306"/>
      <x:c r="Q159" s="306"/>
    </x:row>
    <x:row r="160">
      <x:c r="A160" s="306"/>
      <x:c r="B160" s="306"/>
      <x:c r="C160" s="306"/>
      <x:c r="D160" s="306"/>
      <x:c r="E160" s="306"/>
      <x:c r="F160" s="306"/>
      <x:c r="G160" s="306"/>
      <x:c r="H160" s="306"/>
      <x:c r="I160" s="306"/>
      <x:c r="J160" s="306"/>
      <x:c r="K160" s="306"/>
      <x:c r="L160" s="306"/>
      <x:c r="M160" s="306"/>
      <x:c r="N160" s="306"/>
      <x:c r="O160" s="306"/>
      <x:c r="P160" s="306"/>
      <x:c r="Q160" s="306"/>
    </x:row>
    <x:row r="161">
      <x:c r="A161" s="306"/>
      <x:c r="B161" s="306"/>
      <x:c r="C161" s="306"/>
      <x:c r="D161" s="306"/>
      <x:c r="E161" s="306"/>
      <x:c r="F161" s="306"/>
      <x:c r="G161" s="306"/>
      <x:c r="H161" s="306"/>
      <x:c r="I161" s="306"/>
      <x:c r="J161" s="306"/>
      <x:c r="K161" s="306"/>
      <x:c r="L161" s="306"/>
      <x:c r="M161" s="306"/>
      <x:c r="N161" s="306"/>
      <x:c r="O161" s="306"/>
      <x:c r="P161" s="306"/>
      <x:c r="Q161" s="306"/>
    </x:row>
    <x:row r="162">
      <x:c r="A162" s="306"/>
      <x:c r="B162" s="306"/>
      <x:c r="C162" s="306"/>
      <x:c r="D162" s="306"/>
      <x:c r="E162" s="306"/>
      <x:c r="F162" s="306"/>
      <x:c r="G162" s="306"/>
      <x:c r="H162" s="306"/>
      <x:c r="I162" s="306"/>
      <x:c r="J162" s="306"/>
      <x:c r="K162" s="306"/>
      <x:c r="L162" s="306"/>
      <x:c r="M162" s="306"/>
      <x:c r="N162" s="306"/>
      <x:c r="O162" s="306"/>
      <x:c r="P162" s="306"/>
      <x:c r="Q162" s="306"/>
    </x:row>
    <x:row r="163">
      <x:c r="A163" s="306"/>
      <x:c r="B163" s="306"/>
      <x:c r="C163" s="306"/>
      <x:c r="D163" s="306"/>
      <x:c r="E163" s="306"/>
      <x:c r="F163" s="306"/>
      <x:c r="G163" s="306"/>
      <x:c r="H163" s="306"/>
      <x:c r="I163" s="306"/>
      <x:c r="J163" s="306"/>
      <x:c r="K163" s="306"/>
      <x:c r="L163" s="306"/>
      <x:c r="M163" s="306"/>
      <x:c r="N163" s="306"/>
      <x:c r="O163" s="306"/>
      <x:c r="P163" s="306"/>
      <x:c r="Q163" s="306"/>
    </x:row>
    <x:row r="164">
      <x:c r="A164" s="306"/>
      <x:c r="B164" s="306"/>
      <x:c r="C164" s="306"/>
      <x:c r="D164" s="306"/>
      <x:c r="E164" s="306"/>
      <x:c r="F164" s="306"/>
      <x:c r="G164" s="306"/>
      <x:c r="H164" s="306"/>
      <x:c r="I164" s="306"/>
      <x:c r="J164" s="306"/>
      <x:c r="K164" s="306"/>
      <x:c r="L164" s="306"/>
      <x:c r="M164" s="306"/>
      <x:c r="N164" s="306"/>
      <x:c r="O164" s="306"/>
      <x:c r="P164" s="306"/>
      <x:c r="Q164" s="306"/>
    </x:row>
    <x:row r="165">
      <x:c r="A165" s="306"/>
      <x:c r="B165" s="306"/>
      <x:c r="C165" s="306"/>
      <x:c r="D165" s="306"/>
      <x:c r="E165" s="306"/>
      <x:c r="F165" s="306"/>
      <x:c r="G165" s="306"/>
      <x:c r="H165" s="306"/>
      <x:c r="I165" s="306"/>
      <x:c r="J165" s="306"/>
      <x:c r="K165" s="306"/>
      <x:c r="L165" s="306"/>
      <x:c r="M165" s="306"/>
      <x:c r="N165" s="306"/>
      <x:c r="O165" s="306"/>
      <x:c r="P165" s="306"/>
      <x:c r="Q165" s="306"/>
    </x:row>
    <x:row r="166">
      <x:c r="A166" s="306"/>
      <x:c r="B166" s="306"/>
      <x:c r="C166" s="306"/>
      <x:c r="D166" s="306"/>
      <x:c r="E166" s="306"/>
      <x:c r="F166" s="306"/>
      <x:c r="G166" s="306"/>
      <x:c r="H166" s="306"/>
      <x:c r="I166" s="306"/>
      <x:c r="J166" s="306"/>
      <x:c r="K166" s="306"/>
      <x:c r="L166" s="306"/>
      <x:c r="M166" s="306"/>
      <x:c r="N166" s="306"/>
      <x:c r="O166" s="306"/>
      <x:c r="P166" s="306"/>
      <x:c r="Q166" s="306"/>
    </x:row>
    <x:row r="167">
      <x:c r="A167" s="306"/>
      <x:c r="B167" s="306"/>
      <x:c r="C167" s="306"/>
      <x:c r="D167" s="306"/>
      <x:c r="E167" s="306"/>
      <x:c r="F167" s="306"/>
      <x:c r="G167" s="306"/>
      <x:c r="H167" s="306"/>
      <x:c r="I167" s="306"/>
      <x:c r="J167" s="306"/>
      <x:c r="K167" s="306"/>
      <x:c r="L167" s="306"/>
      <x:c r="M167" s="306"/>
      <x:c r="N167" s="306"/>
      <x:c r="O167" s="306"/>
      <x:c r="P167" s="306"/>
      <x:c r="Q167" s="306"/>
    </x:row>
    <x:row r="168">
      <x:c r="A168" s="306"/>
      <x:c r="B168" s="306"/>
      <x:c r="C168" s="306"/>
      <x:c r="D168" s="306"/>
      <x:c r="E168" s="306"/>
      <x:c r="F168" s="306"/>
      <x:c r="G168" s="306"/>
      <x:c r="H168" s="306"/>
      <x:c r="I168" s="306"/>
      <x:c r="J168" s="306"/>
      <x:c r="K168" s="306"/>
      <x:c r="L168" s="306"/>
      <x:c r="M168" s="306"/>
      <x:c r="N168" s="306"/>
      <x:c r="O168" s="306"/>
      <x:c r="P168" s="306"/>
      <x:c r="Q168" s="306"/>
    </x:row>
    <x:row r="169">
      <x:c r="A169" s="306"/>
      <x:c r="B169" s="306"/>
      <x:c r="C169" s="306"/>
      <x:c r="D169" s="306"/>
      <x:c r="E169" s="306"/>
      <x:c r="F169" s="306"/>
      <x:c r="G169" s="306"/>
      <x:c r="H169" s="306"/>
      <x:c r="I169" s="306"/>
      <x:c r="J169" s="306"/>
      <x:c r="K169" s="306"/>
      <x:c r="L169" s="306"/>
      <x:c r="M169" s="306"/>
      <x:c r="N169" s="306"/>
      <x:c r="O169" s="306"/>
      <x:c r="P169" s="306"/>
      <x:c r="Q169" s="306"/>
    </x:row>
    <x:row r="170">
      <x:c r="A170" s="306"/>
      <x:c r="B170" s="306"/>
      <x:c r="C170" s="306"/>
      <x:c r="D170" s="306"/>
      <x:c r="E170" s="306"/>
      <x:c r="F170" s="306"/>
      <x:c r="G170" s="306"/>
      <x:c r="H170" s="306"/>
      <x:c r="I170" s="306"/>
      <x:c r="J170" s="306"/>
      <x:c r="K170" s="306"/>
      <x:c r="L170" s="306"/>
      <x:c r="M170" s="306"/>
      <x:c r="N170" s="306"/>
      <x:c r="O170" s="306"/>
      <x:c r="P170" s="306"/>
      <x:c r="Q170" s="306"/>
    </x:row>
    <x:row r="171">
      <x:c r="A171" s="306"/>
      <x:c r="B171" s="306"/>
      <x:c r="C171" s="306"/>
      <x:c r="D171" s="306"/>
      <x:c r="E171" s="306"/>
      <x:c r="F171" s="306"/>
      <x:c r="G171" s="306"/>
      <x:c r="H171" s="306"/>
      <x:c r="I171" s="306"/>
      <x:c r="J171" s="306"/>
      <x:c r="K171" s="306"/>
      <x:c r="L171" s="306"/>
      <x:c r="M171" s="306"/>
      <x:c r="N171" s="306"/>
      <x:c r="O171" s="306"/>
      <x:c r="P171" s="306"/>
      <x:c r="Q171" s="306"/>
    </x:row>
    <x:row r="172">
      <x:c r="A172" s="306"/>
      <x:c r="B172" s="306"/>
      <x:c r="C172" s="306"/>
      <x:c r="D172" s="306"/>
      <x:c r="E172" s="306"/>
      <x:c r="F172" s="306"/>
      <x:c r="G172" s="306"/>
      <x:c r="H172" s="306"/>
      <x:c r="I172" s="306"/>
      <x:c r="J172" s="306"/>
      <x:c r="K172" s="306"/>
      <x:c r="L172" s="306"/>
      <x:c r="M172" s="306"/>
      <x:c r="N172" s="306"/>
      <x:c r="O172" s="306"/>
      <x:c r="P172" s="306"/>
      <x:c r="Q172" s="306"/>
    </x:row>
    <x:row r="173">
      <x:c r="A173" s="306"/>
      <x:c r="B173" s="306"/>
      <x:c r="C173" s="306"/>
      <x:c r="D173" s="306"/>
      <x:c r="E173" s="306"/>
      <x:c r="F173" s="306"/>
      <x:c r="G173" s="306"/>
      <x:c r="H173" s="306"/>
      <x:c r="I173" s="306"/>
      <x:c r="J173" s="306"/>
      <x:c r="K173" s="306"/>
      <x:c r="L173" s="306"/>
      <x:c r="M173" s="306"/>
      <x:c r="N173" s="306"/>
      <x:c r="O173" s="306"/>
      <x:c r="P173" s="306"/>
      <x:c r="Q173" s="306"/>
    </x:row>
    <x:row r="174">
      <x:c r="A174" s="306"/>
      <x:c r="B174" s="306"/>
      <x:c r="C174" s="306"/>
      <x:c r="D174" s="306"/>
      <x:c r="E174" s="306"/>
      <x:c r="F174" s="306"/>
      <x:c r="G174" s="306"/>
      <x:c r="H174" s="306"/>
      <x:c r="I174" s="306"/>
      <x:c r="J174" s="306"/>
      <x:c r="K174" s="306"/>
      <x:c r="L174" s="306"/>
      <x:c r="M174" s="306"/>
      <x:c r="N174" s="306"/>
      <x:c r="O174" s="306"/>
      <x:c r="P174" s="306"/>
      <x:c r="Q174" s="306"/>
    </x:row>
    <x:row r="175">
      <x:c r="A175" s="306"/>
      <x:c r="B175" s="306"/>
      <x:c r="C175" s="306"/>
      <x:c r="D175" s="306"/>
      <x:c r="E175" s="306"/>
      <x:c r="F175" s="306"/>
      <x:c r="G175" s="306"/>
      <x:c r="H175" s="306"/>
      <x:c r="I175" s="306"/>
      <x:c r="J175" s="306"/>
      <x:c r="K175" s="306"/>
      <x:c r="L175" s="306"/>
      <x:c r="M175" s="306"/>
      <x:c r="N175" s="306"/>
      <x:c r="O175" s="306"/>
      <x:c r="P175" s="306"/>
      <x:c r="Q175" s="306"/>
    </x:row>
    <x:row r="176">
      <x:c r="A176" s="306"/>
      <x:c r="B176" s="306"/>
      <x:c r="C176" s="306"/>
      <x:c r="D176" s="306"/>
      <x:c r="E176" s="306"/>
      <x:c r="F176" s="306"/>
      <x:c r="G176" s="306"/>
      <x:c r="H176" s="306"/>
      <x:c r="I176" s="306"/>
      <x:c r="J176" s="306"/>
      <x:c r="K176" s="306"/>
      <x:c r="L176" s="306"/>
      <x:c r="M176" s="306"/>
      <x:c r="N176" s="306"/>
      <x:c r="O176" s="306"/>
      <x:c r="P176" s="306"/>
      <x:c r="Q176" s="306"/>
    </x:row>
    <x:row r="177">
      <x:c r="A177" s="306"/>
      <x:c r="B177" s="306"/>
      <x:c r="C177" s="306"/>
      <x:c r="D177" s="306"/>
      <x:c r="E177" s="306"/>
      <x:c r="F177" s="306"/>
      <x:c r="G177" s="306"/>
      <x:c r="H177" s="306"/>
      <x:c r="I177" s="306"/>
      <x:c r="J177" s="306"/>
      <x:c r="K177" s="306"/>
      <x:c r="L177" s="306"/>
      <x:c r="M177" s="306"/>
      <x:c r="N177" s="306"/>
      <x:c r="O177" s="306"/>
      <x:c r="P177" s="306"/>
      <x:c r="Q177" s="306"/>
    </x:row>
    <x:row r="178">
      <x:c r="A178" s="306"/>
      <x:c r="B178" s="306"/>
      <x:c r="C178" s="306"/>
      <x:c r="D178" s="306"/>
      <x:c r="E178" s="306"/>
      <x:c r="F178" s="306"/>
      <x:c r="G178" s="306"/>
      <x:c r="H178" s="306"/>
      <x:c r="I178" s="306"/>
      <x:c r="J178" s="306"/>
      <x:c r="K178" s="306"/>
      <x:c r="L178" s="306"/>
      <x:c r="M178" s="306"/>
      <x:c r="N178" s="306"/>
      <x:c r="O178" s="306"/>
      <x:c r="P178" s="306"/>
      <x:c r="Q178" s="306"/>
    </x:row>
    <x:row r="179">
      <x:c r="A179" s="306"/>
      <x:c r="B179" s="306"/>
      <x:c r="C179" s="306"/>
      <x:c r="D179" s="306"/>
      <x:c r="E179" s="306"/>
      <x:c r="F179" s="306"/>
      <x:c r="G179" s="306"/>
      <x:c r="H179" s="306"/>
      <x:c r="I179" s="306"/>
      <x:c r="J179" s="306"/>
      <x:c r="K179" s="306"/>
      <x:c r="L179" s="306"/>
      <x:c r="M179" s="306"/>
      <x:c r="N179" s="306"/>
      <x:c r="O179" s="306"/>
      <x:c r="P179" s="306"/>
      <x:c r="Q179" s="306"/>
    </x:row>
    <x:row r="180">
      <x:c r="A180" s="306"/>
      <x:c r="B180" s="306"/>
      <x:c r="C180" s="306"/>
      <x:c r="D180" s="306"/>
      <x:c r="E180" s="306"/>
      <x:c r="F180" s="306"/>
      <x:c r="G180" s="306"/>
      <x:c r="H180" s="306"/>
      <x:c r="I180" s="306"/>
      <x:c r="J180" s="306"/>
      <x:c r="K180" s="306"/>
      <x:c r="L180" s="306"/>
      <x:c r="M180" s="306"/>
      <x:c r="N180" s="306"/>
      <x:c r="O180" s="306"/>
      <x:c r="P180" s="306"/>
      <x:c r="Q180" s="306"/>
    </x:row>
    <x:row r="181">
      <x:c r="A181" s="306"/>
      <x:c r="B181" s="306"/>
      <x:c r="C181" s="306"/>
      <x:c r="D181" s="306"/>
      <x:c r="E181" s="306"/>
      <x:c r="F181" s="306"/>
      <x:c r="G181" s="306"/>
      <x:c r="H181" s="306"/>
      <x:c r="I181" s="306"/>
      <x:c r="J181" s="306"/>
      <x:c r="K181" s="306"/>
      <x:c r="L181" s="306"/>
      <x:c r="M181" s="306"/>
      <x:c r="N181" s="306"/>
      <x:c r="O181" s="306"/>
      <x:c r="P181" s="306"/>
      <x:c r="Q181" s="306"/>
    </x:row>
    <x:row r="182">
      <x:c r="A182" s="306"/>
      <x:c r="B182" s="306"/>
      <x:c r="C182" s="306"/>
      <x:c r="D182" s="306"/>
      <x:c r="E182" s="306"/>
      <x:c r="F182" s="306"/>
      <x:c r="G182" s="306"/>
      <x:c r="H182" s="306"/>
      <x:c r="I182" s="306"/>
      <x:c r="J182" s="306"/>
      <x:c r="K182" s="306"/>
      <x:c r="L182" s="306"/>
      <x:c r="M182" s="306"/>
      <x:c r="N182" s="306"/>
      <x:c r="O182" s="306"/>
      <x:c r="P182" s="306"/>
      <x:c r="Q182" s="306"/>
    </x:row>
    <x:row r="183">
      <x:c r="A183" s="306"/>
      <x:c r="B183" s="306"/>
      <x:c r="C183" s="306"/>
      <x:c r="D183" s="306"/>
      <x:c r="E183" s="306"/>
      <x:c r="F183" s="306"/>
      <x:c r="G183" s="306"/>
      <x:c r="H183" s="306"/>
      <x:c r="I183" s="306"/>
      <x:c r="J183" s="306"/>
      <x:c r="K183" s="306"/>
      <x:c r="L183" s="306"/>
      <x:c r="M183" s="306"/>
      <x:c r="N183" s="306"/>
      <x:c r="O183" s="306"/>
      <x:c r="P183" s="306"/>
      <x:c r="Q183" s="306"/>
    </x:row>
    <x:row r="184">
      <x:c r="A184" s="306"/>
      <x:c r="B184" s="306"/>
      <x:c r="C184" s="306"/>
      <x:c r="D184" s="306"/>
      <x:c r="E184" s="306"/>
      <x:c r="F184" s="306"/>
      <x:c r="G184" s="306"/>
      <x:c r="H184" s="306"/>
      <x:c r="I184" s="306"/>
      <x:c r="J184" s="306"/>
      <x:c r="K184" s="306"/>
      <x:c r="L184" s="306"/>
      <x:c r="M184" s="306"/>
      <x:c r="N184" s="306"/>
      <x:c r="O184" s="306"/>
      <x:c r="P184" s="306"/>
      <x:c r="Q184" s="306"/>
    </x:row>
    <x:row r="185">
      <x:c r="A185" s="306"/>
      <x:c r="B185" s="306"/>
      <x:c r="C185" s="306"/>
      <x:c r="D185" s="306"/>
      <x:c r="E185" s="306"/>
      <x:c r="F185" s="306"/>
      <x:c r="G185" s="306"/>
      <x:c r="H185" s="306"/>
      <x:c r="I185" s="306"/>
      <x:c r="J185" s="306"/>
      <x:c r="K185" s="306"/>
      <x:c r="L185" s="306"/>
      <x:c r="M185" s="306"/>
      <x:c r="N185" s="306"/>
      <x:c r="O185" s="306"/>
      <x:c r="P185" s="306"/>
      <x:c r="Q185" s="306"/>
    </x:row>
    <x:row r="186">
      <x:c r="A186" s="306"/>
      <x:c r="B186" s="306"/>
      <x:c r="C186" s="306"/>
      <x:c r="D186" s="306"/>
      <x:c r="E186" s="306"/>
      <x:c r="F186" s="306"/>
      <x:c r="G186" s="306"/>
      <x:c r="H186" s="306"/>
      <x:c r="I186" s="306"/>
      <x:c r="J186" s="306"/>
      <x:c r="K186" s="306"/>
      <x:c r="L186" s="306"/>
      <x:c r="M186" s="306"/>
      <x:c r="N186" s="306"/>
      <x:c r="O186" s="306"/>
      <x:c r="P186" s="306"/>
      <x:c r="Q186" s="306"/>
    </x:row>
    <x:row r="187">
      <x:c r="A187" s="306"/>
      <x:c r="B187" s="306"/>
      <x:c r="C187" s="306"/>
      <x:c r="D187" s="306"/>
      <x:c r="E187" s="306"/>
      <x:c r="F187" s="306"/>
      <x:c r="G187" s="306"/>
      <x:c r="H187" s="306"/>
      <x:c r="I187" s="306"/>
      <x:c r="J187" s="306"/>
      <x:c r="K187" s="306"/>
      <x:c r="L187" s="306"/>
      <x:c r="M187" s="306"/>
      <x:c r="N187" s="306"/>
      <x:c r="O187" s="306"/>
      <x:c r="P187" s="306"/>
      <x:c r="Q187" s="306"/>
    </x:row>
    <x:row r="188">
      <x:c r="A188" s="306"/>
      <x:c r="B188" s="306"/>
      <x:c r="C188" s="306"/>
      <x:c r="D188" s="306"/>
      <x:c r="E188" s="306"/>
      <x:c r="F188" s="306"/>
      <x:c r="G188" s="306"/>
      <x:c r="H188" s="306"/>
      <x:c r="I188" s="306"/>
      <x:c r="J188" s="306"/>
      <x:c r="K188" s="306"/>
      <x:c r="L188" s="306"/>
      <x:c r="M188" s="306"/>
      <x:c r="N188" s="306"/>
      <x:c r="O188" s="306"/>
      <x:c r="P188" s="306"/>
      <x:c r="Q188" s="306"/>
    </x:row>
    <x:row r="189">
      <x:c r="A189" s="306"/>
      <x:c r="B189" s="306"/>
      <x:c r="C189" s="306"/>
      <x:c r="D189" s="306"/>
      <x:c r="E189" s="306"/>
      <x:c r="F189" s="306"/>
      <x:c r="G189" s="306"/>
      <x:c r="H189" s="306"/>
      <x:c r="I189" s="306"/>
      <x:c r="J189" s="306"/>
      <x:c r="K189" s="306"/>
      <x:c r="L189" s="306"/>
      <x:c r="M189" s="306"/>
      <x:c r="N189" s="306"/>
      <x:c r="O189" s="306"/>
      <x:c r="P189" s="306"/>
      <x:c r="Q189" s="306"/>
    </x:row>
    <x:row r="190">
      <x:c r="A190" s="306"/>
      <x:c r="B190" s="306"/>
      <x:c r="C190" s="306"/>
      <x:c r="D190" s="306"/>
      <x:c r="E190" s="306"/>
      <x:c r="F190" s="306"/>
      <x:c r="G190" s="306"/>
      <x:c r="H190" s="306"/>
      <x:c r="I190" s="306"/>
      <x:c r="J190" s="306"/>
      <x:c r="K190" s="306"/>
      <x:c r="L190" s="306"/>
      <x:c r="M190" s="306"/>
      <x:c r="N190" s="306"/>
      <x:c r="O190" s="306"/>
      <x:c r="P190" s="306"/>
      <x:c r="Q190" s="306"/>
    </x:row>
    <x:row r="191">
      <x:c r="A191" s="306"/>
      <x:c r="B191" s="306"/>
      <x:c r="C191" s="306"/>
      <x:c r="D191" s="306"/>
      <x:c r="E191" s="306"/>
      <x:c r="F191" s="306"/>
      <x:c r="G191" s="306"/>
      <x:c r="H191" s="306"/>
      <x:c r="I191" s="306"/>
      <x:c r="J191" s="306"/>
      <x:c r="K191" s="306"/>
      <x:c r="L191" s="306"/>
      <x:c r="M191" s="306"/>
      <x:c r="N191" s="306"/>
      <x:c r="O191" s="306"/>
      <x:c r="P191" s="306"/>
      <x:c r="Q191" s="306"/>
    </x:row>
    <x:row r="192">
      <x:c r="A192" s="306"/>
      <x:c r="B192" s="306"/>
      <x:c r="C192" s="306"/>
      <x:c r="D192" s="306"/>
      <x:c r="E192" s="306"/>
      <x:c r="F192" s="306"/>
      <x:c r="G192" s="306"/>
      <x:c r="H192" s="306"/>
      <x:c r="I192" s="306"/>
      <x:c r="J192" s="306"/>
      <x:c r="K192" s="306"/>
      <x:c r="L192" s="306"/>
      <x:c r="M192" s="306"/>
      <x:c r="N192" s="306"/>
      <x:c r="O192" s="306"/>
      <x:c r="P192" s="306"/>
      <x:c r="Q192" s="306"/>
    </x:row>
    <x:row r="193">
      <x:c r="A193" s="306"/>
      <x:c r="B193" s="306"/>
      <x:c r="C193" s="306"/>
      <x:c r="D193" s="306"/>
      <x:c r="E193" s="306"/>
      <x:c r="F193" s="306"/>
      <x:c r="G193" s="306"/>
      <x:c r="H193" s="306"/>
      <x:c r="I193" s="306"/>
      <x:c r="J193" s="306"/>
      <x:c r="K193" s="306"/>
      <x:c r="L193" s="306"/>
      <x:c r="M193" s="306"/>
      <x:c r="N193" s="306"/>
      <x:c r="O193" s="306"/>
      <x:c r="P193" s="306"/>
      <x:c r="Q193" s="306"/>
    </x:row>
    <x:row r="194">
      <x:c r="A194" s="306"/>
      <x:c r="B194" s="306"/>
      <x:c r="C194" s="306"/>
      <x:c r="D194" s="306"/>
      <x:c r="E194" s="306"/>
      <x:c r="F194" s="306"/>
      <x:c r="G194" s="306"/>
      <x:c r="H194" s="306"/>
      <x:c r="I194" s="306"/>
      <x:c r="J194" s="306"/>
      <x:c r="K194" s="306"/>
      <x:c r="L194" s="306"/>
      <x:c r="M194" s="306"/>
      <x:c r="N194" s="306"/>
      <x:c r="O194" s="306"/>
      <x:c r="P194" s="306"/>
      <x:c r="Q194" s="306"/>
    </x:row>
    <x:row r="195">
      <x:c r="A195" s="306"/>
      <x:c r="B195" s="306"/>
      <x:c r="C195" s="306"/>
      <x:c r="D195" s="306"/>
      <x:c r="E195" s="306"/>
      <x:c r="F195" s="306"/>
      <x:c r="G195" s="306"/>
      <x:c r="H195" s="306"/>
      <x:c r="I195" s="306"/>
      <x:c r="J195" s="306"/>
      <x:c r="K195" s="306"/>
      <x:c r="L195" s="306"/>
      <x:c r="M195" s="306"/>
      <x:c r="N195" s="306"/>
      <x:c r="O195" s="306"/>
      <x:c r="P195" s="306"/>
      <x:c r="Q195" s="306"/>
    </x:row>
    <x:row r="196">
      <x:c r="A196" s="306"/>
      <x:c r="B196" s="306"/>
      <x:c r="C196" s="306"/>
      <x:c r="D196" s="306"/>
      <x:c r="E196" s="306"/>
      <x:c r="F196" s="306"/>
      <x:c r="G196" s="306"/>
      <x:c r="H196" s="306"/>
      <x:c r="I196" s="306"/>
      <x:c r="J196" s="306"/>
      <x:c r="K196" s="306"/>
      <x:c r="L196" s="306"/>
      <x:c r="M196" s="306"/>
      <x:c r="N196" s="306"/>
      <x:c r="O196" s="306"/>
      <x:c r="P196" s="306"/>
      <x:c r="Q196" s="306"/>
    </x:row>
    <x:row r="197">
      <x:c r="A197" s="306"/>
      <x:c r="B197" s="306"/>
      <x:c r="C197" s="306"/>
      <x:c r="D197" s="306"/>
      <x:c r="E197" s="306"/>
      <x:c r="F197" s="306"/>
      <x:c r="G197" s="306"/>
      <x:c r="H197" s="306"/>
      <x:c r="I197" s="306"/>
      <x:c r="J197" s="306"/>
      <x:c r="K197" s="306"/>
      <x:c r="L197" s="306"/>
      <x:c r="M197" s="306"/>
      <x:c r="N197" s="306"/>
      <x:c r="O197" s="306"/>
      <x:c r="P197" s="306"/>
      <x:c r="Q197" s="306"/>
    </x:row>
    <x:row r="198">
      <x:c r="A198" s="306"/>
      <x:c r="B198" s="306"/>
      <x:c r="C198" s="306"/>
      <x:c r="D198" s="306"/>
      <x:c r="E198" s="306"/>
      <x:c r="F198" s="306"/>
      <x:c r="G198" s="306"/>
      <x:c r="H198" s="306"/>
      <x:c r="I198" s="306"/>
      <x:c r="J198" s="306"/>
      <x:c r="K198" s="306"/>
      <x:c r="L198" s="306"/>
      <x:c r="M198" s="306"/>
      <x:c r="N198" s="306"/>
      <x:c r="O198" s="306"/>
      <x:c r="P198" s="306"/>
      <x:c r="Q198" s="306"/>
    </x:row>
    <x:row r="199">
      <x:c r="A199" s="306"/>
      <x:c r="B199" s="306"/>
      <x:c r="C199" s="306"/>
      <x:c r="D199" s="306"/>
      <x:c r="E199" s="306"/>
      <x:c r="F199" s="306"/>
      <x:c r="G199" s="306"/>
      <x:c r="H199" s="306"/>
      <x:c r="I199" s="306"/>
      <x:c r="J199" s="306"/>
      <x:c r="K199" s="306"/>
      <x:c r="L199" s="306"/>
      <x:c r="M199" s="306"/>
      <x:c r="N199" s="306"/>
      <x:c r="O199" s="306"/>
      <x:c r="P199" s="306"/>
      <x:c r="Q199" s="306"/>
    </x:row>
    <x:row r="200">
      <x:c r="A200" s="306"/>
      <x:c r="B200" s="306"/>
      <x:c r="C200" s="306"/>
      <x:c r="D200" s="306"/>
      <x:c r="E200" s="306"/>
      <x:c r="F200" s="306"/>
      <x:c r="G200" s="306"/>
      <x:c r="H200" s="306"/>
      <x:c r="I200" s="306"/>
      <x:c r="J200" s="306"/>
      <x:c r="K200" s="306"/>
      <x:c r="L200" s="306"/>
      <x:c r="M200" s="306"/>
      <x:c r="N200" s="306"/>
      <x:c r="O200" s="306"/>
      <x:c r="P200" s="306"/>
      <x:c r="Q200" s="306"/>
    </x:row>
    <x:row r="201">
      <x:c r="A201" s="306"/>
      <x:c r="B201" s="306"/>
      <x:c r="C201" s="306"/>
      <x:c r="D201" s="306"/>
      <x:c r="E201" s="306"/>
      <x:c r="F201" s="306"/>
      <x:c r="G201" s="306"/>
      <x:c r="H201" s="306"/>
      <x:c r="I201" s="306"/>
      <x:c r="J201" s="306"/>
      <x:c r="K201" s="306"/>
      <x:c r="L201" s="306"/>
      <x:c r="M201" s="306"/>
      <x:c r="N201" s="306"/>
      <x:c r="O201" s="306"/>
      <x:c r="P201" s="306"/>
      <x:c r="Q201" s="306"/>
    </x:row>
    <x:row r="202">
      <x:c r="A202" s="306"/>
      <x:c r="B202" s="306"/>
      <x:c r="C202" s="306"/>
      <x:c r="D202" s="306"/>
      <x:c r="E202" s="306"/>
      <x:c r="F202" s="306"/>
      <x:c r="G202" s="306"/>
      <x:c r="H202" s="306"/>
      <x:c r="I202" s="306"/>
      <x:c r="J202" s="306"/>
      <x:c r="K202" s="306"/>
      <x:c r="L202" s="306"/>
      <x:c r="M202" s="306"/>
      <x:c r="N202" s="306"/>
      <x:c r="O202" s="306"/>
      <x:c r="P202" s="306"/>
      <x:c r="Q202" s="306"/>
    </x:row>
    <x:row r="203">
      <x:c r="A203" s="306"/>
      <x:c r="B203" s="306"/>
      <x:c r="C203" s="306"/>
      <x:c r="D203" s="306"/>
      <x:c r="E203" s="306"/>
      <x:c r="F203" s="306"/>
      <x:c r="G203" s="306"/>
      <x:c r="H203" s="306"/>
      <x:c r="I203" s="306"/>
      <x:c r="J203" s="306"/>
      <x:c r="K203" s="306"/>
      <x:c r="L203" s="306"/>
      <x:c r="M203" s="306"/>
      <x:c r="N203" s="306"/>
      <x:c r="O203" s="306"/>
      <x:c r="P203" s="306"/>
      <x:c r="Q203" s="306"/>
    </x:row>
    <x:row r="204">
      <x:c r="A204" s="306"/>
      <x:c r="B204" s="306"/>
      <x:c r="C204" s="306"/>
      <x:c r="D204" s="306"/>
      <x:c r="E204" s="306"/>
      <x:c r="F204" s="306"/>
      <x:c r="G204" s="306"/>
      <x:c r="H204" s="306"/>
      <x:c r="I204" s="306"/>
      <x:c r="J204" s="306"/>
      <x:c r="K204" s="306"/>
      <x:c r="L204" s="306"/>
      <x:c r="M204" s="306"/>
      <x:c r="N204" s="306"/>
      <x:c r="O204" s="306"/>
      <x:c r="P204" s="306"/>
      <x:c r="Q204" s="306"/>
    </x:row>
  </x:sheetData>
  <x:mergeCells>
    <x:mergeCell ref="A1:J2"/>
    <x:mergeCell ref="A3:J3"/>
  </x:mergeCells>
  <x:conditionalFormatting sqref="I5:I34">
    <x:cfRule type="expression" dxfId="0" priority="1">
      <x:formula>I5="Done"</x:formula>
    </x:cfRule>
    <x:cfRule type="expression" dxfId="1" priority="2">
      <x:formula>I5="Partial"</x:formula>
    </x:cfRule>
    <x:cfRule type="expression" dxfId="2" priority="3">
      <x:formula>I5="Not Started"</x:formula>
    </x:cfRule>
  </x:conditionalFormatting>
  <x:conditionalFormatting sqref="J5:J34">
    <x:cfRule type="dataBar" priority="4">
      <x:dataBar>
        <x:cfvo type="min"/>
        <x:cfvo type="max"/>
        <x:color rgb="FF1565C0"/>
      </x:dataBar>
      <x:extLst>
        <x:ext xmlns:x14="http://schemas.microsoft.com/office/spreadsheetml/2009/9/main" uri="{B025F937-C7B1-47D3-B67F-A62EFF666E3E}">
          <x14:id>{800838C3-537A-A7A9-0E35-702E3F13DBB7}</x14:id>
        </x:ext>
      </x:extLst>
    </x:cfRule>
  </x:conditionalFormatting>
  <x:dataValidations count="1">
    <x:dataValidation type="list" sqref="I5:I34">
      <x:formula1>"Not Started,Partial,Done"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800838C3-537A-A7A9-0E35-702E3F13DBB7}">
            <x14:dataBar gradient="1">
              <x14:cfvo type="min"/>
              <x14:cfvo type="max"/>
              <x14:fillColor rgb="FF1565C0"/>
            </x14:dataBar>
          </x14:cfRule>
          <xm:sqref>J5:J34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34" hidden="0" customWidth="1"/>
    <x:col min="5" max="5" width="15" hidden="0" customWidth="1"/>
    <x:col min="6" max="6" width="15" hidden="0" customWidth="1"/>
    <x:col min="7" max="7" width="15" hidden="0" customWidth="1"/>
    <x:col min="8" max="8" width="31" hidden="0" customWidth="1"/>
    <x:col min="9" max="9" width="31" hidden="0" customWidth="1"/>
    <x:col min="10" max="10" width="14" hidden="0" customWidth="1"/>
    <x:col min="11" max="11" width="10" hidden="0" customWidth="1"/>
  </x:cols>
  <x:sheetData>
    <x:row r="1" ht="34" customHeight="1">
      <x:c r="A1" s="389" t="str">
        <x:v>12-WEEK IMPROVEMENT PLAN</x:v>
      </x:c>
      <x:c r="B1" s="389"/>
      <x:c r="C1" s="389"/>
      <x:c r="D1" s="389"/>
      <x:c r="E1" s="389"/>
      <x:c r="F1" s="389"/>
      <x:c r="G1" s="389"/>
      <x:c r="H1" s="389"/>
      <x:c r="I1" s="389"/>
      <x:c r="J1" s="389"/>
      <x:c r="K1" s="389"/>
      <x:c r="L1" s="306"/>
      <x:c r="M1" s="306"/>
      <x:c r="N1" s="306"/>
      <x:c r="O1" s="306"/>
      <x:c r="P1" s="306"/>
      <x:c r="Q1" s="306"/>
    </x:row>
    <x:row r="2" ht="34" customHeight="1">
      <x:c r="A2" s="389"/>
      <x:c r="B2" s="389"/>
      <x:c r="C2" s="389"/>
      <x:c r="D2" s="389"/>
      <x:c r="E2" s="389"/>
      <x:c r="F2" s="389"/>
      <x:c r="G2" s="389"/>
      <x:c r="H2" s="389"/>
      <x:c r="I2" s="389"/>
      <x:c r="J2" s="389"/>
      <x:c r="K2" s="389"/>
      <x:c r="L2" s="306"/>
      <x:c r="M2" s="306"/>
      <x:c r="N2" s="306"/>
      <x:c r="O2" s="306"/>
      <x:c r="P2" s="306"/>
      <x:c r="Q2" s="306"/>
    </x:row>
    <x:row r="3">
      <x:c r="A3" s="390" t="str">
        <x:v>Use the weekly targets as outcomes. Use the 30-Day Plan and Skill Tracker to choose the exact drills.</x:v>
      </x:c>
      <x:c r="B3" s="390"/>
      <x:c r="C3" s="390"/>
      <x:c r="D3" s="390"/>
      <x:c r="E3" s="390"/>
      <x:c r="F3" s="390"/>
      <x:c r="G3" s="390"/>
      <x:c r="H3" s="390"/>
      <x:c r="I3" s="390"/>
      <x:c r="J3" s="390"/>
      <x:c r="K3" s="390"/>
      <x:c r="L3" s="306"/>
      <x:c r="M3" s="306"/>
      <x:c r="N3" s="306"/>
      <x:c r="O3" s="306"/>
      <x:c r="P3" s="306"/>
      <x:c r="Q3" s="306"/>
    </x:row>
    <x:row r="4">
      <x:c r="A4" s="332" t="str">
        <x:v>Week</x:v>
      </x:c>
      <x:c r="B4" s="333" t="str">
        <x:v>Theme</x:v>
      </x:c>
      <x:c r="C4" s="333" t="str">
        <x:v>Vanilla Goal</x:v>
      </x:c>
      <x:c r="D4" s="333" t="str">
        <x:v>Randomizer Goal</x:v>
      </x:c>
      <x:c r="E4" s="333" t="str">
        <x:v>Required Sessions</x:v>
      </x:c>
      <x:c r="F4" s="333" t="str">
        <x:v>Full Vanilla Runs</x:v>
      </x:c>
      <x:c r="G4" s="333" t="str">
        <x:v>Randomizer Seeds</x:v>
      </x:c>
      <x:c r="H4" s="333" t="str">
        <x:v>Measurable Benchmark</x:v>
      </x:c>
      <x:c r="I4" s="333" t="str">
        <x:v>Weekly Review</x:v>
      </x:c>
      <x:c r="J4" s="333" t="str">
        <x:v>Status</x:v>
      </x:c>
      <x:c r="K4" s="334" t="str">
        <x:v>Score</x:v>
      </x:c>
      <x:c r="L4" s="306"/>
      <x:c r="M4" s="306"/>
      <x:c r="N4" s="306"/>
      <x:c r="O4" s="306"/>
      <x:c r="P4" s="306"/>
      <x:c r="Q4" s="306"/>
    </x:row>
    <x:row r="5" ht="68" customHeight="1">
      <x:c r="A5" s="311" t="n">
        <x:v>1</x:v>
      </x:c>
      <x:c r="B5" s="312" t="str">
        <x:v>Baseline and honest observation</x:v>
      </x:c>
      <x:c r="C5" s="312" t="str">
        <x:v>Complete one full run and identify three costly weaknesses.</x:v>
      </x:c>
      <x:c r="D5" s="312" t="str">
        <x:v>Start one normal seed and record settings, finish status, and decisions.</x:v>
      </x:c>
      <x:c r="E5" s="312" t="n">
        <x:v>4</x:v>
      </x:c>
      <x:c r="F5" s="312" t="n">
        <x:v>1</x:v>
      </x:c>
      <x:c r="G5" s="312" t="n">
        <x:v>1</x:v>
      </x:c>
      <x:c r="H5" s="312" t="str">
        <x:v>All baseline metrics are recorded.</x:v>
      </x:c>
      <x:c r="I5" s="312" t="str">
        <x:v>What single weakness cost the most?</x:v>
      </x:c>
      <x:c r="J5" s="312" t="str">
        <x:v>Not Started</x:v>
      </x:c>
      <x:c r="K5" s="391" t="n">
        <x:f>IF(J5="Done",1,IF(J5="Partial",0.5,0))</x:f>
        <x:v>0</x:v>
      </x:c>
      <x:c r="L5" s="306"/>
      <x:c r="M5" s="306"/>
      <x:c r="N5" s="306"/>
      <x:c r="O5" s="306"/>
      <x:c r="P5" s="306"/>
      <x:c r="Q5" s="306"/>
    </x:row>
    <x:row r="6" ht="68" customHeight="1">
      <x:c r="A6" s="317" t="n">
        <x:v>2</x:v>
      </x:c>
      <x:c r="B6" s="318" t="str">
        <x:v>Movement fundamentals</x:v>
      </x:c>
      <x:c r="C6" s="318" t="str">
        <x:v>Complete 30 focused repetitions across running, stopping, and jump control.</x:v>
      </x:c>
      <x:c r="D6" s="318" t="str">
        <x:v>Reduce blind movement in unfamiliar levels; record three better decisions.</x:v>
      </x:c>
      <x:c r="E6" s="318" t="n">
        <x:v>5</x:v>
      </x:c>
      <x:c r="F6" s="318" t="n">
        <x:v>1</x:v>
      </x:c>
      <x:c r="G6" s="318" t="n">
        <x:v>2</x:v>
      </x:c>
      <x:c r="H6" s="318" t="str">
        <x:v>At least 80% of drill repetitions are successful.</x:v>
      </x:c>
      <x:c r="I6" s="318" t="str">
        <x:v>Which movement error repeats most?</x:v>
      </x:c>
      <x:c r="J6" s="318" t="str">
        <x:v>Not Started</x:v>
      </x:c>
      <x:c r="K6" s="392" t="n">
        <x:f>IF(J6="Done",1,IF(J6="Partial",0.5,0))</x:f>
        <x:v>0</x:v>
      </x:c>
      <x:c r="L6" s="306"/>
      <x:c r="M6" s="306"/>
      <x:c r="N6" s="306"/>
      <x:c r="O6" s="306"/>
      <x:c r="P6" s="306"/>
      <x:c r="Q6" s="306"/>
    </x:row>
    <x:row r="7" ht="68" customHeight="1">
      <x:c r="A7" s="317" t="n">
        <x:v>3</x:v>
      </x:c>
      <x:c r="B7" s="318" t="str">
        <x:v>Combat and bosses</x:v>
      </x:c>
      <x:c r="C7" s="318" t="str">
        <x:v>Practice two enemy types and one boss until each is reliable.</x:v>
      </x:c>
      <x:c r="D7" s="318" t="str">
        <x:v>Use fewer emergency items in normal combat.</x:v>
      </x:c>
      <x:c r="E7" s="318" t="n">
        <x:v>5</x:v>
      </x:c>
      <x:c r="F7" s="318" t="n">
        <x:v>1</x:v>
      </x:c>
      <x:c r="G7" s="318" t="n">
        <x:v>2</x:v>
      </x:c>
      <x:c r="H7" s="318" t="str">
        <x:v>Win the chosen boss five times in a row.</x:v>
      </x:c>
      <x:c r="I7" s="318" t="str">
        <x:v>Which fight needs a safer default strategy?</x:v>
      </x:c>
      <x:c r="J7" s="318" t="str">
        <x:v>Not Started</x:v>
      </x:c>
      <x:c r="K7" s="392" t="n">
        <x:f>IF(J7="Done",1,IF(J7="Partial",0.5,0))</x:f>
        <x:v>0</x:v>
      </x:c>
      <x:c r="L7" s="306"/>
      <x:c r="M7" s="306"/>
      <x:c r="N7" s="306"/>
      <x:c r="O7" s="306"/>
      <x:c r="P7" s="306"/>
      <x:c r="Q7" s="306"/>
    </x:row>
    <x:row r="8" ht="68" customHeight="1">
      <x:c r="A8" s="317" t="n">
        <x:v>4</x:v>
      </x:c>
      <x:c r="B8" s="318" t="str">
        <x:v>Level knowledge</x:v>
      </x:c>
      <x:c r="C8" s="318" t="str">
        <x:v>Create safe strategies for six levels that regularly cause trouble.</x:v>
      </x:c>
      <x:c r="D8" s="318" t="str">
        <x:v>Recognize those levels quickly when randomized.</x:v>
      </x:c>
      <x:c r="E8" s="318" t="n">
        <x:v>5</x:v>
      </x:c>
      <x:c r="F8" s="318" t="n">
        <x:v>2</x:v>
      </x:c>
      <x:c r="G8" s="318" t="n">
        <x:v>2</x:v>
      </x:c>
      <x:c r="H8" s="318" t="str">
        <x:v>Clear each selected level three times.</x:v>
      </x:c>
      <x:c r="I8" s="318" t="str">
        <x:v>Which level still feels unpredictable?</x:v>
      </x:c>
      <x:c r="J8" s="318" t="str">
        <x:v>Not Started</x:v>
      </x:c>
      <x:c r="K8" s="392" t="n">
        <x:f>IF(J8="Done",1,IF(J8="Partial",0.5,0))</x:f>
        <x:v>0</x:v>
      </x:c>
      <x:c r="L8" s="306"/>
      <x:c r="M8" s="306"/>
      <x:c r="N8" s="306"/>
      <x:c r="O8" s="306"/>
      <x:c r="P8" s="306"/>
      <x:c r="Q8" s="306"/>
    </x:row>
    <x:row r="9" ht="68" customHeight="1">
      <x:c r="A9" s="317" t="n">
        <x:v>5</x:v>
      </x:c>
      <x:c r="B9" s="318" t="str">
        <x:v>First consistency test</x:v>
      </x:c>
      <x:c r="C9" s="318" t="str">
        <x:v>Complete two no-reset attempts and compare deaths.</x:v>
      </x:c>
      <x:c r="D9" s="318" t="str">
        <x:v>Play two no-reset seeds or fixed-length sessions.</x:v>
      </x:c>
      <x:c r="E9" s="318" t="n">
        <x:v>5</x:v>
      </x:c>
      <x:c r="F9" s="318" t="n">
        <x:v>2</x:v>
      </x:c>
      <x:c r="G9" s="318" t="n">
        <x:v>2</x:v>
      </x:c>
      <x:c r="H9" s="318" t="str">
        <x:v>Improve either completion rate or deaths by 10%.</x:v>
      </x:c>
      <x:c r="I9" s="318" t="str">
        <x:v>Did mistakes cause panic or useful adjustment?</x:v>
      </x:c>
      <x:c r="J9" s="318" t="str">
        <x:v>Not Started</x:v>
      </x:c>
      <x:c r="K9" s="392" t="n">
        <x:f>IF(J9="Done",1,IF(J9="Partial",0.5,0))</x:f>
        <x:v>0</x:v>
      </x:c>
      <x:c r="L9" s="306"/>
      <x:c r="M9" s="306"/>
      <x:c r="N9" s="306"/>
      <x:c r="O9" s="306"/>
      <x:c r="P9" s="306"/>
      <x:c r="Q9" s="306"/>
    </x:row>
    <x:row r="10" ht="68" customHeight="1">
      <x:c r="A10" s="317" t="n">
        <x:v>6</x:v>
      </x:c>
      <x:c r="B10" s="318" t="str">
        <x:v>Randomizer routing</x:v>
      </x:c>
      <x:c r="C10" s="318" t="str">
        <x:v>Maintain vanilla sharpness with one full run and two segments.</x:v>
      </x:c>
      <x:c r="D10" s="318" t="str">
        <x:v>Follow written route priorities and avoid unnecessary backtracking.</x:v>
      </x:c>
      <x:c r="E10" s="318" t="n">
        <x:v>5</x:v>
      </x:c>
      <x:c r="F10" s="318" t="n">
        <x:v>1</x:v>
      </x:c>
      <x:c r="G10" s="318" t="n">
        <x:v>3</x:v>
      </x:c>
      <x:c r="H10" s="318" t="str">
        <x:v>Reduce major route reversals from the previous week.</x:v>
      </x:c>
      <x:c r="I10" s="318" t="str">
        <x:v>Which route rule saved the most time?</x:v>
      </x:c>
      <x:c r="J10" s="318" t="str">
        <x:v>Not Started</x:v>
      </x:c>
      <x:c r="K10" s="392" t="n">
        <x:f>IF(J10="Done",1,IF(J10="Partial",0.5,0))</x:f>
        <x:v>0</x:v>
      </x:c>
      <x:c r="L10" s="306"/>
      <x:c r="M10" s="306"/>
      <x:c r="N10" s="306"/>
      <x:c r="O10" s="306"/>
      <x:c r="P10" s="306"/>
      <x:c r="Q10" s="306"/>
    </x:row>
    <x:row r="11" ht="68" customHeight="1">
      <x:c r="A11" s="317" t="n">
        <x:v>7</x:v>
      </x:c>
      <x:c r="B11" s="318" t="str">
        <x:v>Inventory and power-ups</x:v>
      </x:c>
      <x:c r="C11" s="318" t="str">
        <x:v>Finish two worlds while preserving useful reserve items.</x:v>
      </x:c>
      <x:c r="D11" s="318" t="str">
        <x:v>Track whether each item use was necessary, optional, or wasteful.</x:v>
      </x:c>
      <x:c r="E11" s="318" t="n">
        <x:v>5</x:v>
      </x:c>
      <x:c r="F11" s="318" t="n">
        <x:v>1</x:v>
      </x:c>
      <x:c r="G11" s="318" t="n">
        <x:v>3</x:v>
      </x:c>
      <x:c r="H11" s="318" t="str">
        <x:v>At least 75% of item uses are judged useful.</x:v>
      </x:c>
      <x:c r="I11" s="318" t="str">
        <x:v>Which item do you waste most often?</x:v>
      </x:c>
      <x:c r="J11" s="318" t="str">
        <x:v>Not Started</x:v>
      </x:c>
      <x:c r="K11" s="392" t="n">
        <x:f>IF(J11="Done",1,IF(J11="Partial",0.5,0))</x:f>
        <x:v>0</x:v>
      </x:c>
      <x:c r="L11" s="306"/>
      <x:c r="M11" s="306"/>
      <x:c r="N11" s="306"/>
      <x:c r="O11" s="306"/>
      <x:c r="P11" s="306"/>
      <x:c r="Q11" s="306"/>
    </x:row>
    <x:row r="12" ht="68" customHeight="1">
      <x:c r="A12" s="317" t="n">
        <x:v>8</x:v>
      </x:c>
      <x:c r="B12" s="318" t="str">
        <x:v>Recovery and no-reset play</x:v>
      </x:c>
      <x:c r="C12" s="318" t="str">
        <x:v>Finish two serious attempts regardless of early mistakes.</x:v>
      </x:c>
      <x:c r="D12" s="318" t="str">
        <x:v>Finish or extend three seeds after a bad start.</x:v>
      </x:c>
      <x:c r="E12" s="318" t="n">
        <x:v>5</x:v>
      </x:c>
      <x:c r="F12" s="318" t="n">
        <x:v>2</x:v>
      </x:c>
      <x:c r="G12" s="318" t="n">
        <x:v>3</x:v>
      </x:c>
      <x:c r="H12" s="318" t="str">
        <x:v>No emotional reset during the planned sessions.</x:v>
      </x:c>
      <x:c r="I12" s="318" t="str">
        <x:v>What helped you recover fastest?</x:v>
      </x:c>
      <x:c r="J12" s="318" t="str">
        <x:v>Not Started</x:v>
      </x:c>
      <x:c r="K12" s="392" t="n">
        <x:f>IF(J12="Done",1,IF(J12="Partial",0.5,0))</x:f>
        <x:v>0</x:v>
      </x:c>
      <x:c r="L12" s="306"/>
      <x:c r="M12" s="306"/>
      <x:c r="N12" s="306"/>
      <x:c r="O12" s="306"/>
      <x:c r="P12" s="306"/>
      <x:c r="Q12" s="306"/>
    </x:row>
    <x:row r="13" ht="68" customHeight="1">
      <x:c r="A13" s="317" t="n">
        <x:v>9</x:v>
      </x:c>
      <x:c r="B13" s="318" t="str">
        <x:v>Efficiency and route cleanup</x:v>
      </x:c>
      <x:c r="C13" s="318" t="str">
        <x:v>Remove three repeated pauses, detours, or risky shortcuts.</x:v>
      </x:c>
      <x:c r="D13" s="318" t="str">
        <x:v>Choose safer routes faster in unfamiliar situations.</x:v>
      </x:c>
      <x:c r="E13" s="318" t="n">
        <x:v>5</x:v>
      </x:c>
      <x:c r="F13" s="318" t="n">
        <x:v>2</x:v>
      </x:c>
      <x:c r="G13" s="318" t="n">
        <x:v>3</x:v>
      </x:c>
      <x:c r="H13" s="318" t="str">
        <x:v>Demonstrate three improvements in logged attempts.</x:v>
      </x:c>
      <x:c r="I13" s="318" t="str">
        <x:v>Which improvement gave the largest gain?</x:v>
      </x:c>
      <x:c r="J13" s="318" t="str">
        <x:v>Not Started</x:v>
      </x:c>
      <x:c r="K13" s="392" t="n">
        <x:f>IF(J13="Done",1,IF(J13="Partial",0.5,0))</x:f>
        <x:v>0</x:v>
      </x:c>
      <x:c r="L13" s="306"/>
      <x:c r="M13" s="306"/>
      <x:c r="N13" s="306"/>
      <x:c r="O13" s="306"/>
      <x:c r="P13" s="306"/>
      <x:c r="Q13" s="306"/>
    </x:row>
    <x:row r="14" ht="68" customHeight="1">
      <x:c r="A14" s="317" t="n">
        <x:v>10</x:v>
      </x:c>
      <x:c r="B14" s="318" t="str">
        <x:v>Pressure practice</x:v>
      </x:c>
      <x:c r="C14" s="318" t="str">
        <x:v>Use a warm-up, then make two serious benchmark attempts.</x:v>
      </x:c>
      <x:c r="D14" s="318" t="str">
        <x:v>Play two serious seeds with standard settings and full notes.</x:v>
      </x:c>
      <x:c r="E14" s="318" t="n">
        <x:v>5</x:v>
      </x:c>
      <x:c r="F14" s="318" t="n">
        <x:v>2</x:v>
      </x:c>
      <x:c r="G14" s="318" t="n">
        <x:v>2</x:v>
      </x:c>
      <x:c r="H14" s="318" t="str">
        <x:v>Confidence rating averages at least 4/5.</x:v>
      </x:c>
      <x:c r="I14" s="318" t="str">
        <x:v>What changed when the run mattered?</x:v>
      </x:c>
      <x:c r="J14" s="318" t="str">
        <x:v>Not Started</x:v>
      </x:c>
      <x:c r="K14" s="392" t="n">
        <x:f>IF(J14="Done",1,IF(J14="Partial",0.5,0))</x:f>
        <x:v>0</x:v>
      </x:c>
      <x:c r="L14" s="306"/>
      <x:c r="M14" s="306"/>
      <x:c r="N14" s="306"/>
      <x:c r="O14" s="306"/>
      <x:c r="P14" s="306"/>
      <x:c r="Q14" s="306"/>
    </x:row>
    <x:row r="15" ht="68" customHeight="1">
      <x:c r="A15" s="317" t="n">
        <x:v>11</x:v>
      </x:c>
      <x:c r="B15" s="318" t="str">
        <x:v>Peak performance week</x:v>
      </x:c>
      <x:c r="C15" s="318" t="str">
        <x:v>Attempt a PB while keeping resets limited and purposeful.</x:v>
      </x:c>
      <x:c r="D15" s="318" t="str">
        <x:v>Attempt your best seed result under standard settings.</x:v>
      </x:c>
      <x:c r="E15" s="318" t="n">
        <x:v>5</x:v>
      </x:c>
      <x:c r="F15" s="318" t="n">
        <x:v>3</x:v>
      </x:c>
      <x:c r="G15" s="318" t="n">
        <x:v>3</x:v>
      </x:c>
      <x:c r="H15" s="318" t="str">
        <x:v>Set a new best in time, deaths, completion, or confidence.</x:v>
      </x:c>
      <x:c r="I15" s="318" t="str">
        <x:v>Which preparation produced the best result?</x:v>
      </x:c>
      <x:c r="J15" s="318" t="str">
        <x:v>Not Started</x:v>
      </x:c>
      <x:c r="K15" s="392" t="n">
        <x:f>IF(J15="Done",1,IF(J15="Partial",0.5,0))</x:f>
        <x:v>0</x:v>
      </x:c>
      <x:c r="L15" s="306"/>
      <x:c r="M15" s="306"/>
      <x:c r="N15" s="306"/>
      <x:c r="O15" s="306"/>
      <x:c r="P15" s="306"/>
      <x:c r="Q15" s="306"/>
    </x:row>
    <x:row r="16" ht="68" customHeight="1">
      <x:c r="A16" s="324" t="n">
        <x:v>12</x:v>
      </x:c>
      <x:c r="B16" s="325" t="str">
        <x:v>Evaluation and next plan</x:v>
      </x:c>
      <x:c r="C16" s="325" t="str">
        <x:v>Compare Week 12 with Week 1 and select next-cycle skills.</x:v>
      </x:c>
      <x:c r="D16" s="325" t="str">
        <x:v>Compare finish rate, time, and decisions with Week 1.</x:v>
      </x:c>
      <x:c r="E16" s="325" t="n">
        <x:v>4</x:v>
      </x:c>
      <x:c r="F16" s="325" t="n">
        <x:v>2</x:v>
      </x:c>
      <x:c r="G16" s="325" t="n">
        <x:v>2</x:v>
      </x:c>
      <x:c r="H16" s="325" t="str">
        <x:v>Write three proven improvements and three next goals.</x:v>
      </x:c>
      <x:c r="I16" s="325" t="str">
        <x:v>What should the next 12 weeks emphasize?</x:v>
      </x:c>
      <x:c r="J16" s="325" t="str">
        <x:v>Not Started</x:v>
      </x:c>
      <x:c r="K16" s="393" t="n">
        <x:f>IF(J16="Done",1,IF(J16="Partial",0.5,0))</x:f>
        <x:v>0</x:v>
      </x:c>
      <x:c r="L16" s="306"/>
      <x:c r="M16" s="306"/>
      <x:c r="N16" s="306"/>
      <x:c r="O16" s="306"/>
      <x:c r="P16" s="306"/>
      <x:c r="Q16" s="306"/>
    </x:row>
    <x:row r="17">
      <x:c r="A17" s="306"/>
      <x:c r="B17" s="306"/>
      <x:c r="C17" s="306"/>
      <x:c r="D17" s="306"/>
      <x:c r="E17" s="306"/>
      <x:c r="F17" s="306"/>
      <x:c r="G17" s="306"/>
      <x:c r="H17" s="306"/>
      <x:c r="I17" s="306"/>
      <x:c r="J17" s="306"/>
      <x:c r="K17" s="306"/>
      <x:c r="L17" s="306"/>
      <x:c r="M17" s="306"/>
      <x:c r="N17" s="306"/>
      <x:c r="O17" s="306"/>
      <x:c r="P17" s="306"/>
      <x:c r="Q17" s="306"/>
    </x:row>
    <x:row r="18">
      <x:c r="A18" s="306"/>
      <x:c r="B18" s="306"/>
      <x:c r="C18" s="306"/>
      <x:c r="D18" s="306"/>
      <x:c r="E18" s="306"/>
      <x:c r="F18" s="306"/>
      <x:c r="G18" s="306"/>
      <x:c r="H18" s="306"/>
      <x:c r="I18" s="306"/>
      <x:c r="J18" s="306"/>
      <x:c r="K18" s="306"/>
      <x:c r="L18" s="306"/>
      <x:c r="M18" s="306"/>
      <x:c r="N18" s="306"/>
      <x:c r="O18" s="306"/>
      <x:c r="P18" s="306"/>
      <x:c r="Q18" s="306"/>
    </x:row>
    <x:row r="19">
      <x:c r="A19" s="306"/>
      <x:c r="B19" s="306"/>
      <x:c r="C19" s="306"/>
      <x:c r="D19" s="306"/>
      <x:c r="E19" s="306"/>
      <x:c r="F19" s="306"/>
      <x:c r="G19" s="306"/>
      <x:c r="H19" s="306"/>
      <x:c r="I19" s="306"/>
      <x:c r="J19" s="306"/>
      <x:c r="K19" s="306"/>
      <x:c r="L19" s="306"/>
      <x:c r="M19" s="306"/>
      <x:c r="N19" s="306"/>
      <x:c r="O19" s="306"/>
      <x:c r="P19" s="306"/>
      <x:c r="Q19" s="306"/>
    </x:row>
    <x:row r="20">
      <x:c r="A20" s="306"/>
      <x:c r="B20" s="306"/>
      <x:c r="C20" s="306"/>
      <x:c r="D20" s="306"/>
      <x:c r="E20" s="306"/>
      <x:c r="F20" s="306"/>
      <x:c r="G20" s="306"/>
      <x:c r="H20" s="306"/>
      <x:c r="I20" s="306"/>
      <x:c r="J20" s="306"/>
      <x:c r="K20" s="306"/>
      <x:c r="L20" s="306"/>
      <x:c r="M20" s="306"/>
      <x:c r="N20" s="306"/>
      <x:c r="O20" s="306"/>
      <x:c r="P20" s="306"/>
      <x:c r="Q20" s="306"/>
    </x:row>
    <x:row r="21">
      <x:c r="A21" s="306"/>
      <x:c r="B21" s="306"/>
      <x:c r="C21" s="306"/>
      <x:c r="D21" s="306"/>
      <x:c r="E21" s="306"/>
      <x:c r="F21" s="306"/>
      <x:c r="G21" s="306"/>
      <x:c r="H21" s="306"/>
      <x:c r="I21" s="306"/>
      <x:c r="J21" s="306"/>
      <x:c r="K21" s="306"/>
      <x:c r="L21" s="306"/>
      <x:c r="M21" s="306"/>
      <x:c r="N21" s="306"/>
      <x:c r="O21" s="306"/>
      <x:c r="P21" s="306"/>
      <x:c r="Q21" s="306"/>
    </x:row>
    <x:row r="22">
      <x:c r="A22" s="306"/>
      <x:c r="B22" s="306"/>
      <x:c r="C22" s="306"/>
      <x:c r="D22" s="306"/>
      <x:c r="E22" s="306"/>
      <x:c r="F22" s="306"/>
      <x:c r="G22" s="306"/>
      <x:c r="H22" s="306"/>
      <x:c r="I22" s="306"/>
      <x:c r="J22" s="306"/>
      <x:c r="K22" s="306"/>
      <x:c r="L22" s="306"/>
      <x:c r="M22" s="306"/>
      <x:c r="N22" s="306"/>
      <x:c r="O22" s="306"/>
      <x:c r="P22" s="306"/>
      <x:c r="Q22" s="306"/>
    </x:row>
    <x:row r="23">
      <x:c r="A23" s="306"/>
      <x:c r="B23" s="306"/>
      <x:c r="C23" s="306"/>
      <x:c r="D23" s="306"/>
      <x:c r="E23" s="306"/>
      <x:c r="F23" s="306"/>
      <x:c r="G23" s="306"/>
      <x:c r="H23" s="306"/>
      <x:c r="I23" s="306"/>
      <x:c r="J23" s="306"/>
      <x:c r="K23" s="306"/>
      <x:c r="L23" s="306"/>
      <x:c r="M23" s="306"/>
      <x:c r="N23" s="306"/>
      <x:c r="O23" s="306"/>
      <x:c r="P23" s="306"/>
      <x:c r="Q23" s="306"/>
    </x:row>
    <x:row r="24">
      <x:c r="A24" s="306"/>
      <x:c r="B24" s="306"/>
      <x:c r="C24" s="306"/>
      <x:c r="D24" s="306"/>
      <x:c r="E24" s="306"/>
      <x:c r="F24" s="306"/>
      <x:c r="G24" s="306"/>
      <x:c r="H24" s="306"/>
      <x:c r="I24" s="306"/>
      <x:c r="J24" s="306"/>
      <x:c r="K24" s="306"/>
      <x:c r="L24" s="306"/>
      <x:c r="M24" s="306"/>
      <x:c r="N24" s="306"/>
      <x:c r="O24" s="306"/>
      <x:c r="P24" s="306"/>
      <x:c r="Q24" s="306"/>
    </x:row>
    <x:row r="25">
      <x:c r="A25" s="306"/>
      <x:c r="B25" s="306"/>
      <x:c r="C25" s="306"/>
      <x:c r="D25" s="306"/>
      <x:c r="E25" s="306"/>
      <x:c r="F25" s="306"/>
      <x:c r="G25" s="306"/>
      <x:c r="H25" s="306"/>
      <x:c r="I25" s="306"/>
      <x:c r="J25" s="306"/>
      <x:c r="K25" s="306"/>
      <x:c r="L25" s="306"/>
      <x:c r="M25" s="306"/>
      <x:c r="N25" s="306"/>
      <x:c r="O25" s="306"/>
      <x:c r="P25" s="306"/>
      <x:c r="Q25" s="306"/>
    </x:row>
    <x:row r="26">
      <x:c r="A26" s="306"/>
      <x:c r="B26" s="306"/>
      <x:c r="C26" s="306"/>
      <x:c r="D26" s="306"/>
      <x:c r="E26" s="306"/>
      <x:c r="F26" s="306"/>
      <x:c r="G26" s="306"/>
      <x:c r="H26" s="306"/>
      <x:c r="I26" s="306"/>
      <x:c r="J26" s="306"/>
      <x:c r="K26" s="306"/>
      <x:c r="L26" s="306"/>
      <x:c r="M26" s="306"/>
      <x:c r="N26" s="306"/>
      <x:c r="O26" s="306"/>
      <x:c r="P26" s="306"/>
      <x:c r="Q26" s="306"/>
    </x:row>
    <x:row r="27">
      <x:c r="A27" s="306"/>
      <x:c r="B27" s="306"/>
      <x:c r="C27" s="306"/>
      <x:c r="D27" s="306"/>
      <x:c r="E27" s="306"/>
      <x:c r="F27" s="306"/>
      <x:c r="G27" s="306"/>
      <x:c r="H27" s="306"/>
      <x:c r="I27" s="306"/>
      <x:c r="J27" s="306"/>
      <x:c r="K27" s="306"/>
      <x:c r="L27" s="306"/>
      <x:c r="M27" s="306"/>
      <x:c r="N27" s="306"/>
      <x:c r="O27" s="306"/>
      <x:c r="P27" s="306"/>
      <x:c r="Q27" s="306"/>
    </x:row>
    <x:row r="28">
      <x:c r="A28" s="306"/>
      <x:c r="B28" s="306"/>
      <x:c r="C28" s="306"/>
      <x:c r="D28" s="306"/>
      <x:c r="E28" s="306"/>
      <x:c r="F28" s="306"/>
      <x:c r="G28" s="306"/>
      <x:c r="H28" s="306"/>
      <x:c r="I28" s="306"/>
      <x:c r="J28" s="306"/>
      <x:c r="K28" s="306"/>
      <x:c r="L28" s="306"/>
      <x:c r="M28" s="306"/>
      <x:c r="N28" s="306"/>
      <x:c r="O28" s="306"/>
      <x:c r="P28" s="306"/>
      <x:c r="Q28" s="306"/>
    </x:row>
    <x:row r="29">
      <x:c r="A29" s="306"/>
      <x:c r="B29" s="306"/>
      <x:c r="C29" s="306"/>
      <x:c r="D29" s="306"/>
      <x:c r="E29" s="306"/>
      <x:c r="F29" s="306"/>
      <x:c r="G29" s="306"/>
      <x:c r="H29" s="306"/>
      <x:c r="I29" s="306"/>
      <x:c r="J29" s="306"/>
      <x:c r="K29" s="306"/>
      <x:c r="L29" s="306"/>
      <x:c r="M29" s="306"/>
      <x:c r="N29" s="306"/>
      <x:c r="O29" s="306"/>
      <x:c r="P29" s="306"/>
      <x:c r="Q29" s="306"/>
    </x:row>
    <x:row r="30">
      <x:c r="A30" s="306"/>
      <x:c r="B30" s="306"/>
      <x:c r="C30" s="306"/>
      <x:c r="D30" s="306"/>
      <x:c r="E30" s="306"/>
      <x:c r="F30" s="306"/>
      <x:c r="G30" s="306"/>
      <x:c r="H30" s="306"/>
      <x:c r="I30" s="306"/>
      <x:c r="J30" s="306"/>
      <x:c r="K30" s="306"/>
      <x:c r="L30" s="306"/>
      <x:c r="M30" s="306"/>
      <x:c r="N30" s="306"/>
      <x:c r="O30" s="306"/>
      <x:c r="P30" s="306"/>
      <x:c r="Q30" s="306"/>
    </x:row>
    <x:row r="31">
      <x:c r="A31" s="306"/>
      <x:c r="B31" s="306"/>
      <x:c r="C31" s="306"/>
      <x:c r="D31" s="306"/>
      <x:c r="E31" s="306"/>
      <x:c r="F31" s="306"/>
      <x:c r="G31" s="306"/>
      <x:c r="H31" s="306"/>
      <x:c r="I31" s="306"/>
      <x:c r="J31" s="306"/>
      <x:c r="K31" s="306"/>
      <x:c r="L31" s="306"/>
      <x:c r="M31" s="306"/>
      <x:c r="N31" s="306"/>
      <x:c r="O31" s="306"/>
      <x:c r="P31" s="306"/>
      <x:c r="Q31" s="306"/>
    </x:row>
    <x:row r="32">
      <x:c r="A32" s="306"/>
      <x:c r="B32" s="306"/>
      <x:c r="C32" s="306"/>
      <x:c r="D32" s="306"/>
      <x:c r="E32" s="306"/>
      <x:c r="F32" s="306"/>
      <x:c r="G32" s="306"/>
      <x:c r="H32" s="306"/>
      <x:c r="I32" s="306"/>
      <x:c r="J32" s="306"/>
      <x:c r="K32" s="306"/>
      <x:c r="L32" s="306"/>
      <x:c r="M32" s="306"/>
      <x:c r="N32" s="306"/>
      <x:c r="O32" s="306"/>
      <x:c r="P32" s="306"/>
      <x:c r="Q32" s="306"/>
    </x:row>
    <x:row r="33">
      <x:c r="A33" s="306"/>
      <x:c r="B33" s="306"/>
      <x:c r="C33" s="306"/>
      <x:c r="D33" s="306"/>
      <x:c r="E33" s="306"/>
      <x:c r="F33" s="306"/>
      <x:c r="G33" s="306"/>
      <x:c r="H33" s="306"/>
      <x:c r="I33" s="306"/>
      <x:c r="J33" s="306"/>
      <x:c r="K33" s="306"/>
      <x:c r="L33" s="306"/>
      <x:c r="M33" s="306"/>
      <x:c r="N33" s="306"/>
      <x:c r="O33" s="306"/>
      <x:c r="P33" s="306"/>
      <x:c r="Q33" s="306"/>
    </x:row>
    <x:row r="34">
      <x:c r="A34" s="306"/>
      <x:c r="B34" s="306"/>
      <x:c r="C34" s="306"/>
      <x:c r="D34" s="306"/>
      <x:c r="E34" s="306"/>
      <x:c r="F34" s="306"/>
      <x:c r="G34" s="306"/>
      <x:c r="H34" s="306"/>
      <x:c r="I34" s="306"/>
      <x:c r="J34" s="306"/>
      <x:c r="K34" s="306"/>
      <x:c r="L34" s="306"/>
      <x:c r="M34" s="306"/>
      <x:c r="N34" s="306"/>
      <x:c r="O34" s="306"/>
      <x:c r="P34" s="306"/>
      <x:c r="Q34" s="306"/>
    </x:row>
    <x:row r="35">
      <x:c r="A35" s="306"/>
      <x:c r="B35" s="306"/>
      <x:c r="C35" s="306"/>
      <x:c r="D35" s="306"/>
      <x:c r="E35" s="306"/>
      <x:c r="F35" s="306"/>
      <x:c r="G35" s="306"/>
      <x:c r="H35" s="306"/>
      <x:c r="I35" s="306"/>
      <x:c r="J35" s="306"/>
      <x:c r="K35" s="306"/>
      <x:c r="L35" s="306"/>
      <x:c r="M35" s="306"/>
      <x:c r="N35" s="306"/>
      <x:c r="O35" s="306"/>
      <x:c r="P35" s="306"/>
      <x:c r="Q35" s="306"/>
    </x:row>
    <x:row r="36">
      <x:c r="A36" s="306"/>
      <x:c r="B36" s="306"/>
      <x:c r="C36" s="306"/>
      <x:c r="D36" s="306"/>
      <x:c r="E36" s="306"/>
      <x:c r="F36" s="306"/>
      <x:c r="G36" s="306"/>
      <x:c r="H36" s="306"/>
      <x:c r="I36" s="306"/>
      <x:c r="J36" s="306"/>
      <x:c r="K36" s="306"/>
      <x:c r="L36" s="306"/>
      <x:c r="M36" s="306"/>
      <x:c r="N36" s="306"/>
      <x:c r="O36" s="306"/>
      <x:c r="P36" s="306"/>
      <x:c r="Q36" s="306"/>
    </x:row>
    <x:row r="37">
      <x:c r="A37" s="306"/>
      <x:c r="B37" s="306"/>
      <x:c r="C37" s="306"/>
      <x:c r="D37" s="306"/>
      <x:c r="E37" s="306"/>
      <x:c r="F37" s="306"/>
      <x:c r="G37" s="306"/>
      <x:c r="H37" s="306"/>
      <x:c r="I37" s="306"/>
      <x:c r="J37" s="306"/>
      <x:c r="K37" s="306"/>
      <x:c r="L37" s="306"/>
      <x:c r="M37" s="306"/>
      <x:c r="N37" s="306"/>
      <x:c r="O37" s="306"/>
      <x:c r="P37" s="306"/>
      <x:c r="Q37" s="306"/>
    </x:row>
    <x:row r="38">
      <x:c r="A38" s="306"/>
      <x:c r="B38" s="306"/>
      <x:c r="C38" s="306"/>
      <x:c r="D38" s="306"/>
      <x:c r="E38" s="306"/>
      <x:c r="F38" s="306"/>
      <x:c r="G38" s="306"/>
      <x:c r="H38" s="306"/>
      <x:c r="I38" s="306"/>
      <x:c r="J38" s="306"/>
      <x:c r="K38" s="306"/>
      <x:c r="L38" s="306"/>
      <x:c r="M38" s="306"/>
      <x:c r="N38" s="306"/>
      <x:c r="O38" s="306"/>
      <x:c r="P38" s="306"/>
      <x:c r="Q38" s="306"/>
    </x:row>
    <x:row r="39">
      <x:c r="A39" s="306"/>
      <x:c r="B39" s="306"/>
      <x:c r="C39" s="306"/>
      <x:c r="D39" s="306"/>
      <x:c r="E39" s="306"/>
      <x:c r="F39" s="306"/>
      <x:c r="G39" s="306"/>
      <x:c r="H39" s="306"/>
      <x:c r="I39" s="306"/>
      <x:c r="J39" s="306"/>
      <x:c r="K39" s="306"/>
      <x:c r="L39" s="306"/>
      <x:c r="M39" s="306"/>
      <x:c r="N39" s="306"/>
      <x:c r="O39" s="306"/>
      <x:c r="P39" s="306"/>
      <x:c r="Q39" s="306"/>
    </x:row>
    <x:row r="40">
      <x:c r="A40" s="306"/>
      <x:c r="B40" s="306"/>
      <x:c r="C40" s="306"/>
      <x:c r="D40" s="306"/>
      <x:c r="E40" s="306"/>
      <x:c r="F40" s="306"/>
      <x:c r="G40" s="306"/>
      <x:c r="H40" s="306"/>
      <x:c r="I40" s="306"/>
      <x:c r="J40" s="306"/>
      <x:c r="K40" s="306"/>
      <x:c r="L40" s="306"/>
      <x:c r="M40" s="306"/>
      <x:c r="N40" s="306"/>
      <x:c r="O40" s="306"/>
      <x:c r="P40" s="306"/>
      <x:c r="Q40" s="306"/>
    </x:row>
    <x:row r="41">
      <x:c r="A41" s="306"/>
      <x:c r="B41" s="306"/>
      <x:c r="C41" s="306"/>
      <x:c r="D41" s="306"/>
      <x:c r="E41" s="306"/>
      <x:c r="F41" s="306"/>
      <x:c r="G41" s="306"/>
      <x:c r="H41" s="306"/>
      <x:c r="I41" s="306"/>
      <x:c r="J41" s="306"/>
      <x:c r="K41" s="306"/>
      <x:c r="L41" s="306"/>
      <x:c r="M41" s="306"/>
      <x:c r="N41" s="306"/>
      <x:c r="O41" s="306"/>
      <x:c r="P41" s="306"/>
      <x:c r="Q41" s="306"/>
    </x:row>
    <x:row r="42">
      <x:c r="A42" s="306"/>
      <x:c r="B42" s="306"/>
      <x:c r="C42" s="306"/>
      <x:c r="D42" s="306"/>
      <x:c r="E42" s="306"/>
      <x:c r="F42" s="306"/>
      <x:c r="G42" s="306"/>
      <x:c r="H42" s="306"/>
      <x:c r="I42" s="306"/>
      <x:c r="J42" s="306"/>
      <x:c r="K42" s="306"/>
      <x:c r="L42" s="306"/>
      <x:c r="M42" s="306"/>
      <x:c r="N42" s="306"/>
      <x:c r="O42" s="306"/>
      <x:c r="P42" s="306"/>
      <x:c r="Q42" s="306"/>
    </x:row>
    <x:row r="43">
      <x:c r="A43" s="306"/>
      <x:c r="B43" s="306"/>
      <x:c r="C43" s="306"/>
      <x:c r="D43" s="306"/>
      <x:c r="E43" s="306"/>
      <x:c r="F43" s="306"/>
      <x:c r="G43" s="306"/>
      <x:c r="H43" s="306"/>
      <x:c r="I43" s="306"/>
      <x:c r="J43" s="306"/>
      <x:c r="K43" s="306"/>
      <x:c r="L43" s="306"/>
      <x:c r="M43" s="306"/>
      <x:c r="N43" s="306"/>
      <x:c r="O43" s="306"/>
      <x:c r="P43" s="306"/>
      <x:c r="Q43" s="306"/>
    </x:row>
    <x:row r="44">
      <x:c r="A44" s="306"/>
      <x:c r="B44" s="306"/>
      <x:c r="C44" s="306"/>
      <x:c r="D44" s="306"/>
      <x:c r="E44" s="306"/>
      <x:c r="F44" s="306"/>
      <x:c r="G44" s="306"/>
      <x:c r="H44" s="306"/>
      <x:c r="I44" s="306"/>
      <x:c r="J44" s="306"/>
      <x:c r="K44" s="306"/>
      <x:c r="L44" s="306"/>
      <x:c r="M44" s="306"/>
      <x:c r="N44" s="306"/>
      <x:c r="O44" s="306"/>
      <x:c r="P44" s="306"/>
      <x:c r="Q44" s="306"/>
    </x:row>
    <x:row r="45">
      <x:c r="A45" s="306"/>
      <x:c r="B45" s="306"/>
      <x:c r="C45" s="306"/>
      <x:c r="D45" s="306"/>
      <x:c r="E45" s="306"/>
      <x:c r="F45" s="306"/>
      <x:c r="G45" s="306"/>
      <x:c r="H45" s="306"/>
      <x:c r="I45" s="306"/>
      <x:c r="J45" s="306"/>
      <x:c r="K45" s="306"/>
      <x:c r="L45" s="306"/>
      <x:c r="M45" s="306"/>
      <x:c r="N45" s="306"/>
      <x:c r="O45" s="306"/>
      <x:c r="P45" s="306"/>
      <x:c r="Q45" s="306"/>
    </x:row>
    <x:row r="46">
      <x:c r="A46" s="306"/>
      <x:c r="B46" s="306"/>
      <x:c r="C46" s="306"/>
      <x:c r="D46" s="306"/>
      <x:c r="E46" s="306"/>
      <x:c r="F46" s="306"/>
      <x:c r="G46" s="306"/>
      <x:c r="H46" s="306"/>
      <x:c r="I46" s="306"/>
      <x:c r="J46" s="306"/>
      <x:c r="K46" s="306"/>
      <x:c r="L46" s="306"/>
      <x:c r="M46" s="306"/>
      <x:c r="N46" s="306"/>
      <x:c r="O46" s="306"/>
      <x:c r="P46" s="306"/>
      <x:c r="Q46" s="306"/>
    </x:row>
    <x:row r="47">
      <x:c r="A47" s="306"/>
      <x:c r="B47" s="306"/>
      <x:c r="C47" s="306"/>
      <x:c r="D47" s="306"/>
      <x:c r="E47" s="306"/>
      <x:c r="F47" s="306"/>
      <x:c r="G47" s="306"/>
      <x:c r="H47" s="306"/>
      <x:c r="I47" s="306"/>
      <x:c r="J47" s="306"/>
      <x:c r="K47" s="306"/>
      <x:c r="L47" s="306"/>
      <x:c r="M47" s="306"/>
      <x:c r="N47" s="306"/>
      <x:c r="O47" s="306"/>
      <x:c r="P47" s="306"/>
      <x:c r="Q47" s="306"/>
    </x:row>
    <x:row r="48">
      <x:c r="A48" s="306"/>
      <x:c r="B48" s="306"/>
      <x:c r="C48" s="306"/>
      <x:c r="D48" s="306"/>
      <x:c r="E48" s="306"/>
      <x:c r="F48" s="306"/>
      <x:c r="G48" s="306"/>
      <x:c r="H48" s="306"/>
      <x:c r="I48" s="306"/>
      <x:c r="J48" s="306"/>
      <x:c r="K48" s="306"/>
      <x:c r="L48" s="306"/>
      <x:c r="M48" s="306"/>
      <x:c r="N48" s="306"/>
      <x:c r="O48" s="306"/>
      <x:c r="P48" s="306"/>
      <x:c r="Q48" s="306"/>
    </x:row>
    <x:row r="49">
      <x:c r="A49" s="306"/>
      <x:c r="B49" s="306"/>
      <x:c r="C49" s="306"/>
      <x:c r="D49" s="306"/>
      <x:c r="E49" s="306"/>
      <x:c r="F49" s="306"/>
      <x:c r="G49" s="306"/>
      <x:c r="H49" s="306"/>
      <x:c r="I49" s="306"/>
      <x:c r="J49" s="306"/>
      <x:c r="K49" s="306"/>
      <x:c r="L49" s="306"/>
      <x:c r="M49" s="306"/>
      <x:c r="N49" s="306"/>
      <x:c r="O49" s="306"/>
      <x:c r="P49" s="306"/>
      <x:c r="Q49" s="306"/>
    </x:row>
    <x:row r="50">
      <x:c r="A50" s="306"/>
      <x:c r="B50" s="306"/>
      <x:c r="C50" s="306"/>
      <x:c r="D50" s="306"/>
      <x:c r="E50" s="306"/>
      <x:c r="F50" s="306"/>
      <x:c r="G50" s="306"/>
      <x:c r="H50" s="306"/>
      <x:c r="I50" s="306"/>
      <x:c r="J50" s="306"/>
      <x:c r="K50" s="306"/>
      <x:c r="L50" s="306"/>
      <x:c r="M50" s="306"/>
      <x:c r="N50" s="306"/>
      <x:c r="O50" s="306"/>
      <x:c r="P50" s="306"/>
      <x:c r="Q50" s="306"/>
    </x:row>
    <x:row r="51">
      <x:c r="A51" s="306"/>
      <x:c r="B51" s="306"/>
      <x:c r="C51" s="306"/>
      <x:c r="D51" s="306"/>
      <x:c r="E51" s="306"/>
      <x:c r="F51" s="306"/>
      <x:c r="G51" s="306"/>
      <x:c r="H51" s="306"/>
      <x:c r="I51" s="306"/>
      <x:c r="J51" s="306"/>
      <x:c r="K51" s="306"/>
      <x:c r="L51" s="306"/>
      <x:c r="M51" s="306"/>
      <x:c r="N51" s="306"/>
      <x:c r="O51" s="306"/>
      <x:c r="P51" s="306"/>
      <x:c r="Q51" s="306"/>
    </x:row>
    <x:row r="52">
      <x:c r="A52" s="306"/>
      <x:c r="B52" s="306"/>
      <x:c r="C52" s="306"/>
      <x:c r="D52" s="306"/>
      <x:c r="E52" s="306"/>
      <x:c r="F52" s="306"/>
      <x:c r="G52" s="306"/>
      <x:c r="H52" s="306"/>
      <x:c r="I52" s="306"/>
      <x:c r="J52" s="306"/>
      <x:c r="K52" s="306"/>
      <x:c r="L52" s="306"/>
      <x:c r="M52" s="306"/>
      <x:c r="N52" s="306"/>
      <x:c r="O52" s="306"/>
      <x:c r="P52" s="306"/>
      <x:c r="Q52" s="306"/>
    </x:row>
    <x:row r="53">
      <x:c r="A53" s="306"/>
      <x:c r="B53" s="306"/>
      <x:c r="C53" s="306"/>
      <x:c r="D53" s="306"/>
      <x:c r="E53" s="306"/>
      <x:c r="F53" s="306"/>
      <x:c r="G53" s="306"/>
      <x:c r="H53" s="306"/>
      <x:c r="I53" s="306"/>
      <x:c r="J53" s="306"/>
      <x:c r="K53" s="306"/>
      <x:c r="L53" s="306"/>
      <x:c r="M53" s="306"/>
      <x:c r="N53" s="306"/>
      <x:c r="O53" s="306"/>
      <x:c r="P53" s="306"/>
      <x:c r="Q53" s="306"/>
    </x:row>
    <x:row r="54">
      <x:c r="A54" s="306"/>
      <x:c r="B54" s="306"/>
      <x:c r="C54" s="306"/>
      <x:c r="D54" s="306"/>
      <x:c r="E54" s="306"/>
      <x:c r="F54" s="306"/>
      <x:c r="G54" s="306"/>
      <x:c r="H54" s="306"/>
      <x:c r="I54" s="306"/>
      <x:c r="J54" s="306"/>
      <x:c r="K54" s="306"/>
      <x:c r="L54" s="306"/>
      <x:c r="M54" s="306"/>
      <x:c r="N54" s="306"/>
      <x:c r="O54" s="306"/>
      <x:c r="P54" s="306"/>
      <x:c r="Q54" s="306"/>
    </x:row>
    <x:row r="55">
      <x:c r="A55" s="306"/>
      <x:c r="B55" s="306"/>
      <x:c r="C55" s="306"/>
      <x:c r="D55" s="306"/>
      <x:c r="E55" s="306"/>
      <x:c r="F55" s="306"/>
      <x:c r="G55" s="306"/>
      <x:c r="H55" s="306"/>
      <x:c r="I55" s="306"/>
      <x:c r="J55" s="306"/>
      <x:c r="K55" s="306"/>
      <x:c r="L55" s="306"/>
      <x:c r="M55" s="306"/>
      <x:c r="N55" s="306"/>
      <x:c r="O55" s="306"/>
      <x:c r="P55" s="306"/>
      <x:c r="Q55" s="306"/>
    </x:row>
    <x:row r="56">
      <x:c r="A56" s="306"/>
      <x:c r="B56" s="306"/>
      <x:c r="C56" s="306"/>
      <x:c r="D56" s="306"/>
      <x:c r="E56" s="306"/>
      <x:c r="F56" s="306"/>
      <x:c r="G56" s="306"/>
      <x:c r="H56" s="306"/>
      <x:c r="I56" s="306"/>
      <x:c r="J56" s="306"/>
      <x:c r="K56" s="306"/>
      <x:c r="L56" s="306"/>
      <x:c r="M56" s="306"/>
      <x:c r="N56" s="306"/>
      <x:c r="O56" s="306"/>
      <x:c r="P56" s="306"/>
      <x:c r="Q56" s="306"/>
    </x:row>
    <x:row r="57">
      <x:c r="A57" s="306"/>
      <x:c r="B57" s="306"/>
      <x:c r="C57" s="306"/>
      <x:c r="D57" s="306"/>
      <x:c r="E57" s="306"/>
      <x:c r="F57" s="306"/>
      <x:c r="G57" s="306"/>
      <x:c r="H57" s="306"/>
      <x:c r="I57" s="306"/>
      <x:c r="J57" s="306"/>
      <x:c r="K57" s="306"/>
      <x:c r="L57" s="306"/>
      <x:c r="M57" s="306"/>
      <x:c r="N57" s="306"/>
      <x:c r="O57" s="306"/>
      <x:c r="P57" s="306"/>
      <x:c r="Q57" s="306"/>
    </x:row>
    <x:row r="58">
      <x:c r="A58" s="306"/>
      <x:c r="B58" s="306"/>
      <x:c r="C58" s="306"/>
      <x:c r="D58" s="306"/>
      <x:c r="E58" s="306"/>
      <x:c r="F58" s="306"/>
      <x:c r="G58" s="306"/>
      <x:c r="H58" s="306"/>
      <x:c r="I58" s="306"/>
      <x:c r="J58" s="306"/>
      <x:c r="K58" s="306"/>
      <x:c r="L58" s="306"/>
      <x:c r="M58" s="306"/>
      <x:c r="N58" s="306"/>
      <x:c r="O58" s="306"/>
      <x:c r="P58" s="306"/>
      <x:c r="Q58" s="306"/>
    </x:row>
    <x:row r="59">
      <x:c r="A59" s="306"/>
      <x:c r="B59" s="306"/>
      <x:c r="C59" s="306"/>
      <x:c r="D59" s="306"/>
      <x:c r="E59" s="306"/>
      <x:c r="F59" s="306"/>
      <x:c r="G59" s="306"/>
      <x:c r="H59" s="306"/>
      <x:c r="I59" s="306"/>
      <x:c r="J59" s="306"/>
      <x:c r="K59" s="306"/>
      <x:c r="L59" s="306"/>
      <x:c r="M59" s="306"/>
      <x:c r="N59" s="306"/>
      <x:c r="O59" s="306"/>
      <x:c r="P59" s="306"/>
      <x:c r="Q59" s="306"/>
    </x:row>
    <x:row r="60">
      <x:c r="A60" s="306"/>
      <x:c r="B60" s="306"/>
      <x:c r="C60" s="306"/>
      <x:c r="D60" s="306"/>
      <x:c r="E60" s="306"/>
      <x:c r="F60" s="306"/>
      <x:c r="G60" s="306"/>
      <x:c r="H60" s="306"/>
      <x:c r="I60" s="306"/>
      <x:c r="J60" s="306"/>
      <x:c r="K60" s="306"/>
      <x:c r="L60" s="306"/>
      <x:c r="M60" s="306"/>
      <x:c r="N60" s="306"/>
      <x:c r="O60" s="306"/>
      <x:c r="P60" s="306"/>
      <x:c r="Q60" s="306"/>
    </x:row>
    <x:row r="61">
      <x:c r="A61" s="306"/>
      <x:c r="B61" s="306"/>
      <x:c r="C61" s="306"/>
      <x:c r="D61" s="306"/>
      <x:c r="E61" s="306"/>
      <x:c r="F61" s="306"/>
      <x:c r="G61" s="306"/>
      <x:c r="H61" s="306"/>
      <x:c r="I61" s="306"/>
      <x:c r="J61" s="306"/>
      <x:c r="K61" s="306"/>
      <x:c r="L61" s="306"/>
      <x:c r="M61" s="306"/>
      <x:c r="N61" s="306"/>
      <x:c r="O61" s="306"/>
      <x:c r="P61" s="306"/>
      <x:c r="Q61" s="306"/>
    </x:row>
    <x:row r="62">
      <x:c r="A62" s="306"/>
      <x:c r="B62" s="306"/>
      <x:c r="C62" s="306"/>
      <x:c r="D62" s="306"/>
      <x:c r="E62" s="306"/>
      <x:c r="F62" s="306"/>
      <x:c r="G62" s="306"/>
      <x:c r="H62" s="306"/>
      <x:c r="I62" s="306"/>
      <x:c r="J62" s="306"/>
      <x:c r="K62" s="306"/>
      <x:c r="L62" s="306"/>
      <x:c r="M62" s="306"/>
      <x:c r="N62" s="306"/>
      <x:c r="O62" s="306"/>
      <x:c r="P62" s="306"/>
      <x:c r="Q62" s="306"/>
    </x:row>
    <x:row r="63">
      <x:c r="A63" s="306"/>
      <x:c r="B63" s="306"/>
      <x:c r="C63" s="306"/>
      <x:c r="D63" s="306"/>
      <x:c r="E63" s="306"/>
      <x:c r="F63" s="306"/>
      <x:c r="G63" s="306"/>
      <x:c r="H63" s="306"/>
      <x:c r="I63" s="306"/>
      <x:c r="J63" s="306"/>
      <x:c r="K63" s="306"/>
      <x:c r="L63" s="306"/>
      <x:c r="M63" s="306"/>
      <x:c r="N63" s="306"/>
      <x:c r="O63" s="306"/>
      <x:c r="P63" s="306"/>
      <x:c r="Q63" s="306"/>
    </x:row>
    <x:row r="64">
      <x:c r="A64" s="306"/>
      <x:c r="B64" s="306"/>
      <x:c r="C64" s="306"/>
      <x:c r="D64" s="306"/>
      <x:c r="E64" s="306"/>
      <x:c r="F64" s="306"/>
      <x:c r="G64" s="306"/>
      <x:c r="H64" s="306"/>
      <x:c r="I64" s="306"/>
      <x:c r="J64" s="306"/>
      <x:c r="K64" s="306"/>
      <x:c r="L64" s="306"/>
      <x:c r="M64" s="306"/>
      <x:c r="N64" s="306"/>
      <x:c r="O64" s="306"/>
      <x:c r="P64" s="306"/>
      <x:c r="Q64" s="306"/>
    </x:row>
    <x:row r="65">
      <x:c r="A65" s="306"/>
      <x:c r="B65" s="306"/>
      <x:c r="C65" s="306"/>
      <x:c r="D65" s="306"/>
      <x:c r="E65" s="306"/>
      <x:c r="F65" s="306"/>
      <x:c r="G65" s="306"/>
      <x:c r="H65" s="306"/>
      <x:c r="I65" s="306"/>
      <x:c r="J65" s="306"/>
      <x:c r="K65" s="306"/>
      <x:c r="L65" s="306"/>
      <x:c r="M65" s="306"/>
      <x:c r="N65" s="306"/>
      <x:c r="O65" s="306"/>
      <x:c r="P65" s="306"/>
      <x:c r="Q65" s="306"/>
    </x:row>
    <x:row r="66">
      <x:c r="A66" s="306"/>
      <x:c r="B66" s="306"/>
      <x:c r="C66" s="306"/>
      <x:c r="D66" s="306"/>
      <x:c r="E66" s="306"/>
      <x:c r="F66" s="306"/>
      <x:c r="G66" s="306"/>
      <x:c r="H66" s="306"/>
      <x:c r="I66" s="306"/>
      <x:c r="J66" s="306"/>
      <x:c r="K66" s="306"/>
      <x:c r="L66" s="306"/>
      <x:c r="M66" s="306"/>
      <x:c r="N66" s="306"/>
      <x:c r="O66" s="306"/>
      <x:c r="P66" s="306"/>
      <x:c r="Q66" s="306"/>
    </x:row>
    <x:row r="67">
      <x:c r="A67" s="306"/>
      <x:c r="B67" s="306"/>
      <x:c r="C67" s="306"/>
      <x:c r="D67" s="306"/>
      <x:c r="E67" s="306"/>
      <x:c r="F67" s="306"/>
      <x:c r="G67" s="306"/>
      <x:c r="H67" s="306"/>
      <x:c r="I67" s="306"/>
      <x:c r="J67" s="306"/>
      <x:c r="K67" s="306"/>
      <x:c r="L67" s="306"/>
      <x:c r="M67" s="306"/>
      <x:c r="N67" s="306"/>
      <x:c r="O67" s="306"/>
      <x:c r="P67" s="306"/>
      <x:c r="Q67" s="306"/>
    </x:row>
    <x:row r="68">
      <x:c r="A68" s="306"/>
      <x:c r="B68" s="306"/>
      <x:c r="C68" s="306"/>
      <x:c r="D68" s="306"/>
      <x:c r="E68" s="306"/>
      <x:c r="F68" s="306"/>
      <x:c r="G68" s="306"/>
      <x:c r="H68" s="306"/>
      <x:c r="I68" s="306"/>
      <x:c r="J68" s="306"/>
      <x:c r="K68" s="306"/>
      <x:c r="L68" s="306"/>
      <x:c r="M68" s="306"/>
      <x:c r="N68" s="306"/>
      <x:c r="O68" s="306"/>
      <x:c r="P68" s="306"/>
      <x:c r="Q68" s="306"/>
    </x:row>
    <x:row r="69">
      <x:c r="A69" s="306"/>
      <x:c r="B69" s="306"/>
      <x:c r="C69" s="306"/>
      <x:c r="D69" s="306"/>
      <x:c r="E69" s="306"/>
      <x:c r="F69" s="306"/>
      <x:c r="G69" s="306"/>
      <x:c r="H69" s="306"/>
      <x:c r="I69" s="306"/>
      <x:c r="J69" s="306"/>
      <x:c r="K69" s="306"/>
      <x:c r="L69" s="306"/>
      <x:c r="M69" s="306"/>
      <x:c r="N69" s="306"/>
      <x:c r="O69" s="306"/>
      <x:c r="P69" s="306"/>
      <x:c r="Q69" s="306"/>
    </x:row>
    <x:row r="70">
      <x:c r="A70" s="306"/>
      <x:c r="B70" s="306"/>
      <x:c r="C70" s="306"/>
      <x:c r="D70" s="306"/>
      <x:c r="E70" s="306"/>
      <x:c r="F70" s="306"/>
      <x:c r="G70" s="306"/>
      <x:c r="H70" s="306"/>
      <x:c r="I70" s="306"/>
      <x:c r="J70" s="306"/>
      <x:c r="K70" s="306"/>
      <x:c r="L70" s="306"/>
      <x:c r="M70" s="306"/>
      <x:c r="N70" s="306"/>
      <x:c r="O70" s="306"/>
      <x:c r="P70" s="306"/>
      <x:c r="Q70" s="306"/>
    </x:row>
    <x:row r="71">
      <x:c r="A71" s="306"/>
      <x:c r="B71" s="306"/>
      <x:c r="C71" s="306"/>
      <x:c r="D71" s="306"/>
      <x:c r="E71" s="306"/>
      <x:c r="F71" s="306"/>
      <x:c r="G71" s="306"/>
      <x:c r="H71" s="306"/>
      <x:c r="I71" s="306"/>
      <x:c r="J71" s="306"/>
      <x:c r="K71" s="306"/>
      <x:c r="L71" s="306"/>
      <x:c r="M71" s="306"/>
      <x:c r="N71" s="306"/>
      <x:c r="O71" s="306"/>
      <x:c r="P71" s="306"/>
      <x:c r="Q71" s="306"/>
    </x:row>
    <x:row r="72">
      <x:c r="A72" s="306"/>
      <x:c r="B72" s="306"/>
      <x:c r="C72" s="306"/>
      <x:c r="D72" s="306"/>
      <x:c r="E72" s="306"/>
      <x:c r="F72" s="306"/>
      <x:c r="G72" s="306"/>
      <x:c r="H72" s="306"/>
      <x:c r="I72" s="306"/>
      <x:c r="J72" s="306"/>
      <x:c r="K72" s="306"/>
      <x:c r="L72" s="306"/>
      <x:c r="M72" s="306"/>
      <x:c r="N72" s="306"/>
      <x:c r="O72" s="306"/>
      <x:c r="P72" s="306"/>
      <x:c r="Q72" s="306"/>
    </x:row>
    <x:row r="73">
      <x:c r="A73" s="306"/>
      <x:c r="B73" s="306"/>
      <x:c r="C73" s="306"/>
      <x:c r="D73" s="306"/>
      <x:c r="E73" s="306"/>
      <x:c r="F73" s="306"/>
      <x:c r="G73" s="306"/>
      <x:c r="H73" s="306"/>
      <x:c r="I73" s="306"/>
      <x:c r="J73" s="306"/>
      <x:c r="K73" s="306"/>
      <x:c r="L73" s="306"/>
      <x:c r="M73" s="306"/>
      <x:c r="N73" s="306"/>
      <x:c r="O73" s="306"/>
      <x:c r="P73" s="306"/>
      <x:c r="Q73" s="306"/>
    </x:row>
    <x:row r="74">
      <x:c r="A74" s="306"/>
      <x:c r="B74" s="306"/>
      <x:c r="C74" s="306"/>
      <x:c r="D74" s="306"/>
      <x:c r="E74" s="306"/>
      <x:c r="F74" s="306"/>
      <x:c r="G74" s="306"/>
      <x:c r="H74" s="306"/>
      <x:c r="I74" s="306"/>
      <x:c r="J74" s="306"/>
      <x:c r="K74" s="306"/>
      <x:c r="L74" s="306"/>
      <x:c r="M74" s="306"/>
      <x:c r="N74" s="306"/>
      <x:c r="O74" s="306"/>
      <x:c r="P74" s="306"/>
      <x:c r="Q74" s="306"/>
    </x:row>
    <x:row r="75">
      <x:c r="A75" s="306"/>
      <x:c r="B75" s="306"/>
      <x:c r="C75" s="306"/>
      <x:c r="D75" s="306"/>
      <x:c r="E75" s="306"/>
      <x:c r="F75" s="306"/>
      <x:c r="G75" s="306"/>
      <x:c r="H75" s="306"/>
      <x:c r="I75" s="306"/>
      <x:c r="J75" s="306"/>
      <x:c r="K75" s="306"/>
      <x:c r="L75" s="306"/>
      <x:c r="M75" s="306"/>
      <x:c r="N75" s="306"/>
      <x:c r="O75" s="306"/>
      <x:c r="P75" s="306"/>
      <x:c r="Q75" s="306"/>
    </x:row>
    <x:row r="76">
      <x:c r="A76" s="306"/>
      <x:c r="B76" s="306"/>
      <x:c r="C76" s="306"/>
      <x:c r="D76" s="306"/>
      <x:c r="E76" s="306"/>
      <x:c r="F76" s="306"/>
      <x:c r="G76" s="306"/>
      <x:c r="H76" s="306"/>
      <x:c r="I76" s="306"/>
      <x:c r="J76" s="306"/>
      <x:c r="K76" s="306"/>
      <x:c r="L76" s="306"/>
      <x:c r="M76" s="306"/>
      <x:c r="N76" s="306"/>
      <x:c r="O76" s="306"/>
      <x:c r="P76" s="306"/>
      <x:c r="Q76" s="306"/>
    </x:row>
    <x:row r="77">
      <x:c r="A77" s="306"/>
      <x:c r="B77" s="306"/>
      <x:c r="C77" s="306"/>
      <x:c r="D77" s="306"/>
      <x:c r="E77" s="306"/>
      <x:c r="F77" s="306"/>
      <x:c r="G77" s="306"/>
      <x:c r="H77" s="306"/>
      <x:c r="I77" s="306"/>
      <x:c r="J77" s="306"/>
      <x:c r="K77" s="306"/>
      <x:c r="L77" s="306"/>
      <x:c r="M77" s="306"/>
      <x:c r="N77" s="306"/>
      <x:c r="O77" s="306"/>
      <x:c r="P77" s="306"/>
      <x:c r="Q77" s="306"/>
    </x:row>
    <x:row r="78">
      <x:c r="A78" s="306"/>
      <x:c r="B78" s="306"/>
      <x:c r="C78" s="306"/>
      <x:c r="D78" s="306"/>
      <x:c r="E78" s="306"/>
      <x:c r="F78" s="306"/>
      <x:c r="G78" s="306"/>
      <x:c r="H78" s="306"/>
      <x:c r="I78" s="306"/>
      <x:c r="J78" s="306"/>
      <x:c r="K78" s="306"/>
      <x:c r="L78" s="306"/>
      <x:c r="M78" s="306"/>
      <x:c r="N78" s="306"/>
      <x:c r="O78" s="306"/>
      <x:c r="P78" s="306"/>
      <x:c r="Q78" s="306"/>
    </x:row>
    <x:row r="79">
      <x:c r="A79" s="306"/>
      <x:c r="B79" s="306"/>
      <x:c r="C79" s="306"/>
      <x:c r="D79" s="306"/>
      <x:c r="E79" s="306"/>
      <x:c r="F79" s="306"/>
      <x:c r="G79" s="306"/>
      <x:c r="H79" s="306"/>
      <x:c r="I79" s="306"/>
      <x:c r="J79" s="306"/>
      <x:c r="K79" s="306"/>
      <x:c r="L79" s="306"/>
      <x:c r="M79" s="306"/>
      <x:c r="N79" s="306"/>
      <x:c r="O79" s="306"/>
      <x:c r="P79" s="306"/>
      <x:c r="Q79" s="306"/>
    </x:row>
    <x:row r="80">
      <x:c r="A80" s="306"/>
      <x:c r="B80" s="306"/>
      <x:c r="C80" s="306"/>
      <x:c r="D80" s="306"/>
      <x:c r="E80" s="306"/>
      <x:c r="F80" s="306"/>
      <x:c r="G80" s="306"/>
      <x:c r="H80" s="306"/>
      <x:c r="I80" s="306"/>
      <x:c r="J80" s="306"/>
      <x:c r="K80" s="306"/>
      <x:c r="L80" s="306"/>
      <x:c r="M80" s="306"/>
      <x:c r="N80" s="306"/>
      <x:c r="O80" s="306"/>
      <x:c r="P80" s="306"/>
      <x:c r="Q80" s="306"/>
    </x:row>
    <x:row r="81">
      <x:c r="A81" s="306"/>
      <x:c r="B81" s="306"/>
      <x:c r="C81" s="306"/>
      <x:c r="D81" s="306"/>
      <x:c r="E81" s="306"/>
      <x:c r="F81" s="306"/>
      <x:c r="G81" s="306"/>
      <x:c r="H81" s="306"/>
      <x:c r="I81" s="306"/>
      <x:c r="J81" s="306"/>
      <x:c r="K81" s="306"/>
      <x:c r="L81" s="306"/>
      <x:c r="M81" s="306"/>
      <x:c r="N81" s="306"/>
      <x:c r="O81" s="306"/>
      <x:c r="P81" s="306"/>
      <x:c r="Q81" s="306"/>
    </x:row>
    <x:row r="82">
      <x:c r="A82" s="306"/>
      <x:c r="B82" s="306"/>
      <x:c r="C82" s="306"/>
      <x:c r="D82" s="306"/>
      <x:c r="E82" s="306"/>
      <x:c r="F82" s="306"/>
      <x:c r="G82" s="306"/>
      <x:c r="H82" s="306"/>
      <x:c r="I82" s="306"/>
      <x:c r="J82" s="306"/>
      <x:c r="K82" s="306"/>
      <x:c r="L82" s="306"/>
      <x:c r="M82" s="306"/>
      <x:c r="N82" s="306"/>
      <x:c r="O82" s="306"/>
      <x:c r="P82" s="306"/>
      <x:c r="Q82" s="306"/>
    </x:row>
    <x:row r="83">
      <x:c r="A83" s="306"/>
      <x:c r="B83" s="306"/>
      <x:c r="C83" s="306"/>
      <x:c r="D83" s="306"/>
      <x:c r="E83" s="306"/>
      <x:c r="F83" s="306"/>
      <x:c r="G83" s="306"/>
      <x:c r="H83" s="306"/>
      <x:c r="I83" s="306"/>
      <x:c r="J83" s="306"/>
      <x:c r="K83" s="306"/>
      <x:c r="L83" s="306"/>
      <x:c r="M83" s="306"/>
      <x:c r="N83" s="306"/>
      <x:c r="O83" s="306"/>
      <x:c r="P83" s="306"/>
      <x:c r="Q83" s="306"/>
    </x:row>
    <x:row r="84">
      <x:c r="A84" s="306"/>
      <x:c r="B84" s="306"/>
      <x:c r="C84" s="306"/>
      <x:c r="D84" s="306"/>
      <x:c r="E84" s="306"/>
      <x:c r="F84" s="306"/>
      <x:c r="G84" s="306"/>
      <x:c r="H84" s="306"/>
      <x:c r="I84" s="306"/>
      <x:c r="J84" s="306"/>
      <x:c r="K84" s="306"/>
      <x:c r="L84" s="306"/>
      <x:c r="M84" s="306"/>
      <x:c r="N84" s="306"/>
      <x:c r="O84" s="306"/>
      <x:c r="P84" s="306"/>
      <x:c r="Q84" s="306"/>
    </x:row>
    <x:row r="85">
      <x:c r="A85" s="306"/>
      <x:c r="B85" s="306"/>
      <x:c r="C85" s="306"/>
      <x:c r="D85" s="306"/>
      <x:c r="E85" s="306"/>
      <x:c r="F85" s="306"/>
      <x:c r="G85" s="306"/>
      <x:c r="H85" s="306"/>
      <x:c r="I85" s="306"/>
      <x:c r="J85" s="306"/>
      <x:c r="K85" s="306"/>
      <x:c r="L85" s="306"/>
      <x:c r="M85" s="306"/>
      <x:c r="N85" s="306"/>
      <x:c r="O85" s="306"/>
      <x:c r="P85" s="306"/>
      <x:c r="Q85" s="306"/>
    </x:row>
    <x:row r="86">
      <x:c r="A86" s="306"/>
      <x:c r="B86" s="306"/>
      <x:c r="C86" s="306"/>
      <x:c r="D86" s="306"/>
      <x:c r="E86" s="306"/>
      <x:c r="F86" s="306"/>
      <x:c r="G86" s="306"/>
      <x:c r="H86" s="306"/>
      <x:c r="I86" s="306"/>
      <x:c r="J86" s="306"/>
      <x:c r="K86" s="306"/>
      <x:c r="L86" s="306"/>
      <x:c r="M86" s="306"/>
      <x:c r="N86" s="306"/>
      <x:c r="O86" s="306"/>
      <x:c r="P86" s="306"/>
      <x:c r="Q86" s="306"/>
    </x:row>
    <x:row r="87">
      <x:c r="A87" s="306"/>
      <x:c r="B87" s="306"/>
      <x:c r="C87" s="306"/>
      <x:c r="D87" s="306"/>
      <x:c r="E87" s="306"/>
      <x:c r="F87" s="306"/>
      <x:c r="G87" s="306"/>
      <x:c r="H87" s="306"/>
      <x:c r="I87" s="306"/>
      <x:c r="J87" s="306"/>
      <x:c r="K87" s="306"/>
      <x:c r="L87" s="306"/>
      <x:c r="M87" s="306"/>
      <x:c r="N87" s="306"/>
      <x:c r="O87" s="306"/>
      <x:c r="P87" s="306"/>
      <x:c r="Q87" s="306"/>
    </x:row>
    <x:row r="88">
      <x:c r="A88" s="306"/>
      <x:c r="B88" s="306"/>
      <x:c r="C88" s="306"/>
      <x:c r="D88" s="306"/>
      <x:c r="E88" s="306"/>
      <x:c r="F88" s="306"/>
      <x:c r="G88" s="306"/>
      <x:c r="H88" s="306"/>
      <x:c r="I88" s="306"/>
      <x:c r="J88" s="306"/>
      <x:c r="K88" s="306"/>
      <x:c r="L88" s="306"/>
      <x:c r="M88" s="306"/>
      <x:c r="N88" s="306"/>
      <x:c r="O88" s="306"/>
      <x:c r="P88" s="306"/>
      <x:c r="Q88" s="306"/>
    </x:row>
    <x:row r="89">
      <x:c r="A89" s="306"/>
      <x:c r="B89" s="306"/>
      <x:c r="C89" s="306"/>
      <x:c r="D89" s="306"/>
      <x:c r="E89" s="306"/>
      <x:c r="F89" s="306"/>
      <x:c r="G89" s="306"/>
      <x:c r="H89" s="306"/>
      <x:c r="I89" s="306"/>
      <x:c r="J89" s="306"/>
      <x:c r="K89" s="306"/>
      <x:c r="L89" s="306"/>
      <x:c r="M89" s="306"/>
      <x:c r="N89" s="306"/>
      <x:c r="O89" s="306"/>
      <x:c r="P89" s="306"/>
      <x:c r="Q89" s="306"/>
    </x:row>
    <x:row r="90">
      <x:c r="A90" s="306"/>
      <x:c r="B90" s="306"/>
      <x:c r="C90" s="306"/>
      <x:c r="D90" s="306"/>
      <x:c r="E90" s="306"/>
      <x:c r="F90" s="306"/>
      <x:c r="G90" s="306"/>
      <x:c r="H90" s="306"/>
      <x:c r="I90" s="306"/>
      <x:c r="J90" s="306"/>
      <x:c r="K90" s="306"/>
      <x:c r="L90" s="306"/>
      <x:c r="M90" s="306"/>
      <x:c r="N90" s="306"/>
      <x:c r="O90" s="306"/>
      <x:c r="P90" s="306"/>
      <x:c r="Q90" s="306"/>
    </x:row>
    <x:row r="91">
      <x:c r="A91" s="306"/>
      <x:c r="B91" s="306"/>
      <x:c r="C91" s="306"/>
      <x:c r="D91" s="306"/>
      <x:c r="E91" s="306"/>
      <x:c r="F91" s="306"/>
      <x:c r="G91" s="306"/>
      <x:c r="H91" s="306"/>
      <x:c r="I91" s="306"/>
      <x:c r="J91" s="306"/>
      <x:c r="K91" s="306"/>
      <x:c r="L91" s="306"/>
      <x:c r="M91" s="306"/>
      <x:c r="N91" s="306"/>
      <x:c r="O91" s="306"/>
      <x:c r="P91" s="306"/>
      <x:c r="Q91" s="306"/>
    </x:row>
    <x:row r="92">
      <x:c r="A92" s="306"/>
      <x:c r="B92" s="306"/>
      <x:c r="C92" s="306"/>
      <x:c r="D92" s="306"/>
      <x:c r="E92" s="306"/>
      <x:c r="F92" s="306"/>
      <x:c r="G92" s="306"/>
      <x:c r="H92" s="306"/>
      <x:c r="I92" s="306"/>
      <x:c r="J92" s="306"/>
      <x:c r="K92" s="306"/>
      <x:c r="L92" s="306"/>
      <x:c r="M92" s="306"/>
      <x:c r="N92" s="306"/>
      <x:c r="O92" s="306"/>
      <x:c r="P92" s="306"/>
      <x:c r="Q92" s="306"/>
    </x:row>
    <x:row r="93">
      <x:c r="A93" s="306"/>
      <x:c r="B93" s="306"/>
      <x:c r="C93" s="306"/>
      <x:c r="D93" s="306"/>
      <x:c r="E93" s="306"/>
      <x:c r="F93" s="306"/>
      <x:c r="G93" s="306"/>
      <x:c r="H93" s="306"/>
      <x:c r="I93" s="306"/>
      <x:c r="J93" s="306"/>
      <x:c r="K93" s="306"/>
      <x:c r="L93" s="306"/>
      <x:c r="M93" s="306"/>
      <x:c r="N93" s="306"/>
      <x:c r="O93" s="306"/>
      <x:c r="P93" s="306"/>
      <x:c r="Q93" s="306"/>
    </x:row>
    <x:row r="94">
      <x:c r="A94" s="306"/>
      <x:c r="B94" s="306"/>
      <x:c r="C94" s="306"/>
      <x:c r="D94" s="306"/>
      <x:c r="E94" s="306"/>
      <x:c r="F94" s="306"/>
      <x:c r="G94" s="306"/>
      <x:c r="H94" s="306"/>
      <x:c r="I94" s="306"/>
      <x:c r="J94" s="306"/>
      <x:c r="K94" s="306"/>
      <x:c r="L94" s="306"/>
      <x:c r="M94" s="306"/>
      <x:c r="N94" s="306"/>
      <x:c r="O94" s="306"/>
      <x:c r="P94" s="306"/>
      <x:c r="Q94" s="306"/>
    </x:row>
    <x:row r="95">
      <x:c r="A95" s="306"/>
      <x:c r="B95" s="306"/>
      <x:c r="C95" s="306"/>
      <x:c r="D95" s="306"/>
      <x:c r="E95" s="306"/>
      <x:c r="F95" s="306"/>
      <x:c r="G95" s="306"/>
      <x:c r="H95" s="306"/>
      <x:c r="I95" s="306"/>
      <x:c r="J95" s="306"/>
      <x:c r="K95" s="306"/>
      <x:c r="L95" s="306"/>
      <x:c r="M95" s="306"/>
      <x:c r="N95" s="306"/>
      <x:c r="O95" s="306"/>
      <x:c r="P95" s="306"/>
      <x:c r="Q95" s="306"/>
    </x:row>
    <x:row r="96">
      <x:c r="A96" s="306"/>
      <x:c r="B96" s="306"/>
      <x:c r="C96" s="306"/>
      <x:c r="D96" s="306"/>
      <x:c r="E96" s="306"/>
      <x:c r="F96" s="306"/>
      <x:c r="G96" s="306"/>
      <x:c r="H96" s="306"/>
      <x:c r="I96" s="306"/>
      <x:c r="J96" s="306"/>
      <x:c r="K96" s="306"/>
      <x:c r="L96" s="306"/>
      <x:c r="M96" s="306"/>
      <x:c r="N96" s="306"/>
      <x:c r="O96" s="306"/>
      <x:c r="P96" s="306"/>
      <x:c r="Q96" s="306"/>
    </x:row>
    <x:row r="97">
      <x:c r="A97" s="306"/>
      <x:c r="B97" s="306"/>
      <x:c r="C97" s="306"/>
      <x:c r="D97" s="306"/>
      <x:c r="E97" s="306"/>
      <x:c r="F97" s="306"/>
      <x:c r="G97" s="306"/>
      <x:c r="H97" s="306"/>
      <x:c r="I97" s="306"/>
      <x:c r="J97" s="306"/>
      <x:c r="K97" s="306"/>
      <x:c r="L97" s="306"/>
      <x:c r="M97" s="306"/>
      <x:c r="N97" s="306"/>
      <x:c r="O97" s="306"/>
      <x:c r="P97" s="306"/>
      <x:c r="Q97" s="306"/>
    </x:row>
    <x:row r="98">
      <x:c r="A98" s="306"/>
      <x:c r="B98" s="306"/>
      <x:c r="C98" s="306"/>
      <x:c r="D98" s="306"/>
      <x:c r="E98" s="306"/>
      <x:c r="F98" s="306"/>
      <x:c r="G98" s="306"/>
      <x:c r="H98" s="306"/>
      <x:c r="I98" s="306"/>
      <x:c r="J98" s="306"/>
      <x:c r="K98" s="306"/>
      <x:c r="L98" s="306"/>
      <x:c r="M98" s="306"/>
      <x:c r="N98" s="306"/>
      <x:c r="O98" s="306"/>
      <x:c r="P98" s="306"/>
      <x:c r="Q98" s="306"/>
    </x:row>
    <x:row r="99">
      <x:c r="A99" s="306"/>
      <x:c r="B99" s="306"/>
      <x:c r="C99" s="306"/>
      <x:c r="D99" s="306"/>
      <x:c r="E99" s="306"/>
      <x:c r="F99" s="306"/>
      <x:c r="G99" s="306"/>
      <x:c r="H99" s="306"/>
      <x:c r="I99" s="306"/>
      <x:c r="J99" s="306"/>
      <x:c r="K99" s="306"/>
      <x:c r="L99" s="306"/>
      <x:c r="M99" s="306"/>
      <x:c r="N99" s="306"/>
      <x:c r="O99" s="306"/>
      <x:c r="P99" s="306"/>
      <x:c r="Q99" s="306"/>
    </x:row>
    <x:row r="100">
      <x:c r="A100" s="306"/>
      <x:c r="B100" s="306"/>
      <x:c r="C100" s="306"/>
      <x:c r="D100" s="306"/>
      <x:c r="E100" s="306"/>
      <x:c r="F100" s="306"/>
      <x:c r="G100" s="306"/>
      <x:c r="H100" s="306"/>
      <x:c r="I100" s="306"/>
      <x:c r="J100" s="306"/>
      <x:c r="K100" s="306"/>
      <x:c r="L100" s="306"/>
      <x:c r="M100" s="306"/>
      <x:c r="N100" s="306"/>
      <x:c r="O100" s="306"/>
      <x:c r="P100" s="306"/>
      <x:c r="Q100" s="306"/>
    </x:row>
    <x:row r="101">
      <x:c r="A101" s="306"/>
      <x:c r="B101" s="306"/>
      <x:c r="C101" s="306"/>
      <x:c r="D101" s="306"/>
      <x:c r="E101" s="306"/>
      <x:c r="F101" s="306"/>
      <x:c r="G101" s="306"/>
      <x:c r="H101" s="306"/>
      <x:c r="I101" s="306"/>
      <x:c r="J101" s="306"/>
      <x:c r="K101" s="306"/>
      <x:c r="L101" s="306"/>
      <x:c r="M101" s="306"/>
      <x:c r="N101" s="306"/>
      <x:c r="O101" s="306"/>
      <x:c r="P101" s="306"/>
      <x:c r="Q101" s="306"/>
    </x:row>
    <x:row r="102">
      <x:c r="A102" s="306"/>
      <x:c r="B102" s="306"/>
      <x:c r="C102" s="306"/>
      <x:c r="D102" s="306"/>
      <x:c r="E102" s="306"/>
      <x:c r="F102" s="306"/>
      <x:c r="G102" s="306"/>
      <x:c r="H102" s="306"/>
      <x:c r="I102" s="306"/>
      <x:c r="J102" s="306"/>
      <x:c r="K102" s="306"/>
      <x:c r="L102" s="306"/>
      <x:c r="M102" s="306"/>
      <x:c r="N102" s="306"/>
      <x:c r="O102" s="306"/>
      <x:c r="P102" s="306"/>
      <x:c r="Q102" s="306"/>
    </x:row>
    <x:row r="103">
      <x:c r="A103" s="306"/>
      <x:c r="B103" s="306"/>
      <x:c r="C103" s="306"/>
      <x:c r="D103" s="306"/>
      <x:c r="E103" s="306"/>
      <x:c r="F103" s="306"/>
      <x:c r="G103" s="306"/>
      <x:c r="H103" s="306"/>
      <x:c r="I103" s="306"/>
      <x:c r="J103" s="306"/>
      <x:c r="K103" s="306"/>
      <x:c r="L103" s="306"/>
      <x:c r="M103" s="306"/>
      <x:c r="N103" s="306"/>
      <x:c r="O103" s="306"/>
      <x:c r="P103" s="306"/>
      <x:c r="Q103" s="306"/>
    </x:row>
    <x:row r="104">
      <x:c r="A104" s="306"/>
      <x:c r="B104" s="306"/>
      <x:c r="C104" s="306"/>
      <x:c r="D104" s="306"/>
      <x:c r="E104" s="306"/>
      <x:c r="F104" s="306"/>
      <x:c r="G104" s="306"/>
      <x:c r="H104" s="306"/>
      <x:c r="I104" s="306"/>
      <x:c r="J104" s="306"/>
      <x:c r="K104" s="306"/>
      <x:c r="L104" s="306"/>
      <x:c r="M104" s="306"/>
      <x:c r="N104" s="306"/>
      <x:c r="O104" s="306"/>
      <x:c r="P104" s="306"/>
      <x:c r="Q104" s="306"/>
    </x:row>
    <x:row r="105">
      <x:c r="A105" s="306"/>
      <x:c r="B105" s="306"/>
      <x:c r="C105" s="306"/>
      <x:c r="D105" s="306"/>
      <x:c r="E105" s="306"/>
      <x:c r="F105" s="306"/>
      <x:c r="G105" s="306"/>
      <x:c r="H105" s="306"/>
      <x:c r="I105" s="306"/>
      <x:c r="J105" s="306"/>
      <x:c r="K105" s="306"/>
      <x:c r="L105" s="306"/>
      <x:c r="M105" s="306"/>
      <x:c r="N105" s="306"/>
      <x:c r="O105" s="306"/>
      <x:c r="P105" s="306"/>
      <x:c r="Q105" s="306"/>
    </x:row>
    <x:row r="106">
      <x:c r="A106" s="306"/>
      <x:c r="B106" s="306"/>
      <x:c r="C106" s="306"/>
      <x:c r="D106" s="306"/>
      <x:c r="E106" s="306"/>
      <x:c r="F106" s="306"/>
      <x:c r="G106" s="306"/>
      <x:c r="H106" s="306"/>
      <x:c r="I106" s="306"/>
      <x:c r="J106" s="306"/>
      <x:c r="K106" s="306"/>
      <x:c r="L106" s="306"/>
      <x:c r="M106" s="306"/>
      <x:c r="N106" s="306"/>
      <x:c r="O106" s="306"/>
      <x:c r="P106" s="306"/>
      <x:c r="Q106" s="306"/>
    </x:row>
    <x:row r="107">
      <x:c r="A107" s="306"/>
      <x:c r="B107" s="306"/>
      <x:c r="C107" s="306"/>
      <x:c r="D107" s="306"/>
      <x:c r="E107" s="306"/>
      <x:c r="F107" s="306"/>
      <x:c r="G107" s="306"/>
      <x:c r="H107" s="306"/>
      <x:c r="I107" s="306"/>
      <x:c r="J107" s="306"/>
      <x:c r="K107" s="306"/>
      <x:c r="L107" s="306"/>
      <x:c r="M107" s="306"/>
      <x:c r="N107" s="306"/>
      <x:c r="O107" s="306"/>
      <x:c r="P107" s="306"/>
      <x:c r="Q107" s="306"/>
    </x:row>
    <x:row r="108">
      <x:c r="A108" s="306"/>
      <x:c r="B108" s="306"/>
      <x:c r="C108" s="306"/>
      <x:c r="D108" s="306"/>
      <x:c r="E108" s="306"/>
      <x:c r="F108" s="306"/>
      <x:c r="G108" s="306"/>
      <x:c r="H108" s="306"/>
      <x:c r="I108" s="306"/>
      <x:c r="J108" s="306"/>
      <x:c r="K108" s="306"/>
      <x:c r="L108" s="306"/>
      <x:c r="M108" s="306"/>
      <x:c r="N108" s="306"/>
      <x:c r="O108" s="306"/>
      <x:c r="P108" s="306"/>
      <x:c r="Q108" s="306"/>
    </x:row>
    <x:row r="109">
      <x:c r="A109" s="306"/>
      <x:c r="B109" s="306"/>
      <x:c r="C109" s="306"/>
      <x:c r="D109" s="306"/>
      <x:c r="E109" s="306"/>
      <x:c r="F109" s="306"/>
      <x:c r="G109" s="306"/>
      <x:c r="H109" s="306"/>
      <x:c r="I109" s="306"/>
      <x:c r="J109" s="306"/>
      <x:c r="K109" s="306"/>
      <x:c r="L109" s="306"/>
      <x:c r="M109" s="306"/>
      <x:c r="N109" s="306"/>
      <x:c r="O109" s="306"/>
      <x:c r="P109" s="306"/>
      <x:c r="Q109" s="306"/>
    </x:row>
    <x:row r="110">
      <x:c r="A110" s="306"/>
      <x:c r="B110" s="306"/>
      <x:c r="C110" s="306"/>
      <x:c r="D110" s="306"/>
      <x:c r="E110" s="306"/>
      <x:c r="F110" s="306"/>
      <x:c r="G110" s="306"/>
      <x:c r="H110" s="306"/>
      <x:c r="I110" s="306"/>
      <x:c r="J110" s="306"/>
      <x:c r="K110" s="306"/>
      <x:c r="L110" s="306"/>
      <x:c r="M110" s="306"/>
      <x:c r="N110" s="306"/>
      <x:c r="O110" s="306"/>
      <x:c r="P110" s="306"/>
      <x:c r="Q110" s="306"/>
    </x:row>
    <x:row r="111">
      <x:c r="A111" s="306"/>
      <x:c r="B111" s="306"/>
      <x:c r="C111" s="306"/>
      <x:c r="D111" s="306"/>
      <x:c r="E111" s="306"/>
      <x:c r="F111" s="306"/>
      <x:c r="G111" s="306"/>
      <x:c r="H111" s="306"/>
      <x:c r="I111" s="306"/>
      <x:c r="J111" s="306"/>
      <x:c r="K111" s="306"/>
      <x:c r="L111" s="306"/>
      <x:c r="M111" s="306"/>
      <x:c r="N111" s="306"/>
      <x:c r="O111" s="306"/>
      <x:c r="P111" s="306"/>
      <x:c r="Q111" s="306"/>
    </x:row>
    <x:row r="112">
      <x:c r="A112" s="306"/>
      <x:c r="B112" s="306"/>
      <x:c r="C112" s="306"/>
      <x:c r="D112" s="306"/>
      <x:c r="E112" s="306"/>
      <x:c r="F112" s="306"/>
      <x:c r="G112" s="306"/>
      <x:c r="H112" s="306"/>
      <x:c r="I112" s="306"/>
      <x:c r="J112" s="306"/>
      <x:c r="K112" s="306"/>
      <x:c r="L112" s="306"/>
      <x:c r="M112" s="306"/>
      <x:c r="N112" s="306"/>
      <x:c r="O112" s="306"/>
      <x:c r="P112" s="306"/>
      <x:c r="Q112" s="306"/>
    </x:row>
    <x:row r="113">
      <x:c r="A113" s="306"/>
      <x:c r="B113" s="306"/>
      <x:c r="C113" s="306"/>
      <x:c r="D113" s="306"/>
      <x:c r="E113" s="306"/>
      <x:c r="F113" s="306"/>
      <x:c r="G113" s="306"/>
      <x:c r="H113" s="306"/>
      <x:c r="I113" s="306"/>
      <x:c r="J113" s="306"/>
      <x:c r="K113" s="306"/>
      <x:c r="L113" s="306"/>
      <x:c r="M113" s="306"/>
      <x:c r="N113" s="306"/>
      <x:c r="O113" s="306"/>
      <x:c r="P113" s="306"/>
      <x:c r="Q113" s="306"/>
    </x:row>
    <x:row r="114">
      <x:c r="A114" s="306"/>
      <x:c r="B114" s="306"/>
      <x:c r="C114" s="306"/>
      <x:c r="D114" s="306"/>
      <x:c r="E114" s="306"/>
      <x:c r="F114" s="306"/>
      <x:c r="G114" s="306"/>
      <x:c r="H114" s="306"/>
      <x:c r="I114" s="306"/>
      <x:c r="J114" s="306"/>
      <x:c r="K114" s="306"/>
      <x:c r="L114" s="306"/>
      <x:c r="M114" s="306"/>
      <x:c r="N114" s="306"/>
      <x:c r="O114" s="306"/>
      <x:c r="P114" s="306"/>
      <x:c r="Q114" s="306"/>
    </x:row>
    <x:row r="115">
      <x:c r="A115" s="306"/>
      <x:c r="B115" s="306"/>
      <x:c r="C115" s="306"/>
      <x:c r="D115" s="306"/>
      <x:c r="E115" s="306"/>
      <x:c r="F115" s="306"/>
      <x:c r="G115" s="306"/>
      <x:c r="H115" s="306"/>
      <x:c r="I115" s="306"/>
      <x:c r="J115" s="306"/>
      <x:c r="K115" s="306"/>
      <x:c r="L115" s="306"/>
      <x:c r="M115" s="306"/>
      <x:c r="N115" s="306"/>
      <x:c r="O115" s="306"/>
      <x:c r="P115" s="306"/>
      <x:c r="Q115" s="306"/>
    </x:row>
    <x:row r="116">
      <x:c r="A116" s="306"/>
      <x:c r="B116" s="306"/>
      <x:c r="C116" s="306"/>
      <x:c r="D116" s="306"/>
      <x:c r="E116" s="306"/>
      <x:c r="F116" s="306"/>
      <x:c r="G116" s="306"/>
      <x:c r="H116" s="306"/>
      <x:c r="I116" s="306"/>
      <x:c r="J116" s="306"/>
      <x:c r="K116" s="306"/>
      <x:c r="L116" s="306"/>
      <x:c r="M116" s="306"/>
      <x:c r="N116" s="306"/>
      <x:c r="O116" s="306"/>
      <x:c r="P116" s="306"/>
      <x:c r="Q116" s="306"/>
    </x:row>
    <x:row r="117">
      <x:c r="A117" s="306"/>
      <x:c r="B117" s="306"/>
      <x:c r="C117" s="306"/>
      <x:c r="D117" s="306"/>
      <x:c r="E117" s="306"/>
      <x:c r="F117" s="306"/>
      <x:c r="G117" s="306"/>
      <x:c r="H117" s="306"/>
      <x:c r="I117" s="306"/>
      <x:c r="J117" s="306"/>
      <x:c r="K117" s="306"/>
      <x:c r="L117" s="306"/>
      <x:c r="M117" s="306"/>
      <x:c r="N117" s="306"/>
      <x:c r="O117" s="306"/>
      <x:c r="P117" s="306"/>
      <x:c r="Q117" s="306"/>
    </x:row>
    <x:row r="118">
      <x:c r="A118" s="306"/>
      <x:c r="B118" s="306"/>
      <x:c r="C118" s="306"/>
      <x:c r="D118" s="306"/>
      <x:c r="E118" s="306"/>
      <x:c r="F118" s="306"/>
      <x:c r="G118" s="306"/>
      <x:c r="H118" s="306"/>
      <x:c r="I118" s="306"/>
      <x:c r="J118" s="306"/>
      <x:c r="K118" s="306"/>
      <x:c r="L118" s="306"/>
      <x:c r="M118" s="306"/>
      <x:c r="N118" s="306"/>
      <x:c r="O118" s="306"/>
      <x:c r="P118" s="306"/>
      <x:c r="Q118" s="306"/>
    </x:row>
    <x:row r="119">
      <x:c r="A119" s="306"/>
      <x:c r="B119" s="306"/>
      <x:c r="C119" s="306"/>
      <x:c r="D119" s="306"/>
      <x:c r="E119" s="306"/>
      <x:c r="F119" s="306"/>
      <x:c r="G119" s="306"/>
      <x:c r="H119" s="306"/>
      <x:c r="I119" s="306"/>
      <x:c r="J119" s="306"/>
      <x:c r="K119" s="306"/>
      <x:c r="L119" s="306"/>
      <x:c r="M119" s="306"/>
      <x:c r="N119" s="306"/>
      <x:c r="O119" s="306"/>
      <x:c r="P119" s="306"/>
      <x:c r="Q119" s="306"/>
    </x:row>
    <x:row r="120">
      <x:c r="A120" s="306"/>
      <x:c r="B120" s="306"/>
      <x:c r="C120" s="306"/>
      <x:c r="D120" s="306"/>
      <x:c r="E120" s="306"/>
      <x:c r="F120" s="306"/>
      <x:c r="G120" s="306"/>
      <x:c r="H120" s="306"/>
      <x:c r="I120" s="306"/>
      <x:c r="J120" s="306"/>
      <x:c r="K120" s="306"/>
      <x:c r="L120" s="306"/>
      <x:c r="M120" s="306"/>
      <x:c r="N120" s="306"/>
      <x:c r="O120" s="306"/>
      <x:c r="P120" s="306"/>
      <x:c r="Q120" s="306"/>
    </x:row>
    <x:row r="121">
      <x:c r="A121" s="306"/>
      <x:c r="B121" s="306"/>
      <x:c r="C121" s="306"/>
      <x:c r="D121" s="306"/>
      <x:c r="E121" s="306"/>
      <x:c r="F121" s="306"/>
      <x:c r="G121" s="306"/>
      <x:c r="H121" s="306"/>
      <x:c r="I121" s="306"/>
      <x:c r="J121" s="306"/>
      <x:c r="K121" s="306"/>
      <x:c r="L121" s="306"/>
      <x:c r="M121" s="306"/>
      <x:c r="N121" s="306"/>
      <x:c r="O121" s="306"/>
      <x:c r="P121" s="306"/>
      <x:c r="Q121" s="306"/>
    </x:row>
    <x:row r="122">
      <x:c r="A122" s="306"/>
      <x:c r="B122" s="306"/>
      <x:c r="C122" s="306"/>
      <x:c r="D122" s="306"/>
      <x:c r="E122" s="306"/>
      <x:c r="F122" s="306"/>
      <x:c r="G122" s="306"/>
      <x:c r="H122" s="306"/>
      <x:c r="I122" s="306"/>
      <x:c r="J122" s="306"/>
      <x:c r="K122" s="306"/>
      <x:c r="L122" s="306"/>
      <x:c r="M122" s="306"/>
      <x:c r="N122" s="306"/>
      <x:c r="O122" s="306"/>
      <x:c r="P122" s="306"/>
      <x:c r="Q122" s="306"/>
    </x:row>
    <x:row r="123">
      <x:c r="A123" s="306"/>
      <x:c r="B123" s="306"/>
      <x:c r="C123" s="306"/>
      <x:c r="D123" s="306"/>
      <x:c r="E123" s="306"/>
      <x:c r="F123" s="306"/>
      <x:c r="G123" s="306"/>
      <x:c r="H123" s="306"/>
      <x:c r="I123" s="306"/>
      <x:c r="J123" s="306"/>
      <x:c r="K123" s="306"/>
      <x:c r="L123" s="306"/>
      <x:c r="M123" s="306"/>
      <x:c r="N123" s="306"/>
      <x:c r="O123" s="306"/>
      <x:c r="P123" s="306"/>
      <x:c r="Q123" s="306"/>
    </x:row>
    <x:row r="124">
      <x:c r="A124" s="306"/>
      <x:c r="B124" s="306"/>
      <x:c r="C124" s="306"/>
      <x:c r="D124" s="306"/>
      <x:c r="E124" s="306"/>
      <x:c r="F124" s="306"/>
      <x:c r="G124" s="306"/>
      <x:c r="H124" s="306"/>
      <x:c r="I124" s="306"/>
      <x:c r="J124" s="306"/>
      <x:c r="K124" s="306"/>
      <x:c r="L124" s="306"/>
      <x:c r="M124" s="306"/>
      <x:c r="N124" s="306"/>
      <x:c r="O124" s="306"/>
      <x:c r="P124" s="306"/>
      <x:c r="Q124" s="306"/>
    </x:row>
    <x:row r="125">
      <x:c r="A125" s="306"/>
      <x:c r="B125" s="306"/>
      <x:c r="C125" s="306"/>
      <x:c r="D125" s="306"/>
      <x:c r="E125" s="306"/>
      <x:c r="F125" s="306"/>
      <x:c r="G125" s="306"/>
      <x:c r="H125" s="306"/>
      <x:c r="I125" s="306"/>
      <x:c r="J125" s="306"/>
      <x:c r="K125" s="306"/>
      <x:c r="L125" s="306"/>
      <x:c r="M125" s="306"/>
      <x:c r="N125" s="306"/>
      <x:c r="O125" s="306"/>
      <x:c r="P125" s="306"/>
      <x:c r="Q125" s="306"/>
    </x:row>
    <x:row r="126">
      <x:c r="A126" s="306"/>
      <x:c r="B126" s="306"/>
      <x:c r="C126" s="306"/>
      <x:c r="D126" s="306"/>
      <x:c r="E126" s="306"/>
      <x:c r="F126" s="306"/>
      <x:c r="G126" s="306"/>
      <x:c r="H126" s="306"/>
      <x:c r="I126" s="306"/>
      <x:c r="J126" s="306"/>
      <x:c r="K126" s="306"/>
      <x:c r="L126" s="306"/>
      <x:c r="M126" s="306"/>
      <x:c r="N126" s="306"/>
      <x:c r="O126" s="306"/>
      <x:c r="P126" s="306"/>
      <x:c r="Q126" s="306"/>
    </x:row>
    <x:row r="127">
      <x:c r="A127" s="306"/>
      <x:c r="B127" s="306"/>
      <x:c r="C127" s="306"/>
      <x:c r="D127" s="306"/>
      <x:c r="E127" s="306"/>
      <x:c r="F127" s="306"/>
      <x:c r="G127" s="306"/>
      <x:c r="H127" s="306"/>
      <x:c r="I127" s="306"/>
      <x:c r="J127" s="306"/>
      <x:c r="K127" s="306"/>
      <x:c r="L127" s="306"/>
      <x:c r="M127" s="306"/>
      <x:c r="N127" s="306"/>
      <x:c r="O127" s="306"/>
      <x:c r="P127" s="306"/>
      <x:c r="Q127" s="306"/>
    </x:row>
    <x:row r="128">
      <x:c r="A128" s="306"/>
      <x:c r="B128" s="306"/>
      <x:c r="C128" s="306"/>
      <x:c r="D128" s="306"/>
      <x:c r="E128" s="306"/>
      <x:c r="F128" s="306"/>
      <x:c r="G128" s="306"/>
      <x:c r="H128" s="306"/>
      <x:c r="I128" s="306"/>
      <x:c r="J128" s="306"/>
      <x:c r="K128" s="306"/>
      <x:c r="L128" s="306"/>
      <x:c r="M128" s="306"/>
      <x:c r="N128" s="306"/>
      <x:c r="O128" s="306"/>
      <x:c r="P128" s="306"/>
      <x:c r="Q128" s="306"/>
    </x:row>
    <x:row r="129">
      <x:c r="A129" s="306"/>
      <x:c r="B129" s="306"/>
      <x:c r="C129" s="306"/>
      <x:c r="D129" s="306"/>
      <x:c r="E129" s="306"/>
      <x:c r="F129" s="306"/>
      <x:c r="G129" s="306"/>
      <x:c r="H129" s="306"/>
      <x:c r="I129" s="306"/>
      <x:c r="J129" s="306"/>
      <x:c r="K129" s="306"/>
      <x:c r="L129" s="306"/>
      <x:c r="M129" s="306"/>
      <x:c r="N129" s="306"/>
      <x:c r="O129" s="306"/>
      <x:c r="P129" s="306"/>
      <x:c r="Q129" s="306"/>
    </x:row>
    <x:row r="130">
      <x:c r="A130" s="306"/>
      <x:c r="B130" s="306"/>
      <x:c r="C130" s="306"/>
      <x:c r="D130" s="306"/>
      <x:c r="E130" s="306"/>
      <x:c r="F130" s="306"/>
      <x:c r="G130" s="306"/>
      <x:c r="H130" s="306"/>
      <x:c r="I130" s="306"/>
      <x:c r="J130" s="306"/>
      <x:c r="K130" s="306"/>
      <x:c r="L130" s="306"/>
      <x:c r="M130" s="306"/>
      <x:c r="N130" s="306"/>
      <x:c r="O130" s="306"/>
      <x:c r="P130" s="306"/>
      <x:c r="Q130" s="306"/>
    </x:row>
    <x:row r="131">
      <x:c r="A131" s="306"/>
      <x:c r="B131" s="306"/>
      <x:c r="C131" s="306"/>
      <x:c r="D131" s="306"/>
      <x:c r="E131" s="306"/>
      <x:c r="F131" s="306"/>
      <x:c r="G131" s="306"/>
      <x:c r="H131" s="306"/>
      <x:c r="I131" s="306"/>
      <x:c r="J131" s="306"/>
      <x:c r="K131" s="306"/>
      <x:c r="L131" s="306"/>
      <x:c r="M131" s="306"/>
      <x:c r="N131" s="306"/>
      <x:c r="O131" s="306"/>
      <x:c r="P131" s="306"/>
      <x:c r="Q131" s="306"/>
    </x:row>
    <x:row r="132">
      <x:c r="A132" s="306"/>
      <x:c r="B132" s="306"/>
      <x:c r="C132" s="306"/>
      <x:c r="D132" s="306"/>
      <x:c r="E132" s="306"/>
      <x:c r="F132" s="306"/>
      <x:c r="G132" s="306"/>
      <x:c r="H132" s="306"/>
      <x:c r="I132" s="306"/>
      <x:c r="J132" s="306"/>
      <x:c r="K132" s="306"/>
      <x:c r="L132" s="306"/>
      <x:c r="M132" s="306"/>
      <x:c r="N132" s="306"/>
      <x:c r="O132" s="306"/>
      <x:c r="P132" s="306"/>
      <x:c r="Q132" s="306"/>
    </x:row>
    <x:row r="133">
      <x:c r="A133" s="306"/>
      <x:c r="B133" s="306"/>
      <x:c r="C133" s="306"/>
      <x:c r="D133" s="306"/>
      <x:c r="E133" s="306"/>
      <x:c r="F133" s="306"/>
      <x:c r="G133" s="306"/>
      <x:c r="H133" s="306"/>
      <x:c r="I133" s="306"/>
      <x:c r="J133" s="306"/>
      <x:c r="K133" s="306"/>
      <x:c r="L133" s="306"/>
      <x:c r="M133" s="306"/>
      <x:c r="N133" s="306"/>
      <x:c r="O133" s="306"/>
      <x:c r="P133" s="306"/>
      <x:c r="Q133" s="306"/>
    </x:row>
    <x:row r="134">
      <x:c r="A134" s="306"/>
      <x:c r="B134" s="306"/>
      <x:c r="C134" s="306"/>
      <x:c r="D134" s="306"/>
      <x:c r="E134" s="306"/>
      <x:c r="F134" s="306"/>
      <x:c r="G134" s="306"/>
      <x:c r="H134" s="306"/>
      <x:c r="I134" s="306"/>
      <x:c r="J134" s="306"/>
      <x:c r="K134" s="306"/>
      <x:c r="L134" s="306"/>
      <x:c r="M134" s="306"/>
      <x:c r="N134" s="306"/>
      <x:c r="O134" s="306"/>
      <x:c r="P134" s="306"/>
      <x:c r="Q134" s="306"/>
    </x:row>
    <x:row r="135">
      <x:c r="A135" s="306"/>
      <x:c r="B135" s="306"/>
      <x:c r="C135" s="306"/>
      <x:c r="D135" s="306"/>
      <x:c r="E135" s="306"/>
      <x:c r="F135" s="306"/>
      <x:c r="G135" s="306"/>
      <x:c r="H135" s="306"/>
      <x:c r="I135" s="306"/>
      <x:c r="J135" s="306"/>
      <x:c r="K135" s="306"/>
      <x:c r="L135" s="306"/>
      <x:c r="M135" s="306"/>
      <x:c r="N135" s="306"/>
      <x:c r="O135" s="306"/>
      <x:c r="P135" s="306"/>
      <x:c r="Q135" s="306"/>
    </x:row>
    <x:row r="136">
      <x:c r="A136" s="306"/>
      <x:c r="B136" s="306"/>
      <x:c r="C136" s="306"/>
      <x:c r="D136" s="306"/>
      <x:c r="E136" s="306"/>
      <x:c r="F136" s="306"/>
      <x:c r="G136" s="306"/>
      <x:c r="H136" s="306"/>
      <x:c r="I136" s="306"/>
      <x:c r="J136" s="306"/>
      <x:c r="K136" s="306"/>
      <x:c r="L136" s="306"/>
      <x:c r="M136" s="306"/>
      <x:c r="N136" s="306"/>
      <x:c r="O136" s="306"/>
      <x:c r="P136" s="306"/>
      <x:c r="Q136" s="306"/>
    </x:row>
    <x:row r="137">
      <x:c r="A137" s="306"/>
      <x:c r="B137" s="306"/>
      <x:c r="C137" s="306"/>
      <x:c r="D137" s="306"/>
      <x:c r="E137" s="306"/>
      <x:c r="F137" s="306"/>
      <x:c r="G137" s="306"/>
      <x:c r="H137" s="306"/>
      <x:c r="I137" s="306"/>
      <x:c r="J137" s="306"/>
      <x:c r="K137" s="306"/>
      <x:c r="L137" s="306"/>
      <x:c r="M137" s="306"/>
      <x:c r="N137" s="306"/>
      <x:c r="O137" s="306"/>
      <x:c r="P137" s="306"/>
      <x:c r="Q137" s="306"/>
    </x:row>
    <x:row r="138">
      <x:c r="A138" s="306"/>
      <x:c r="B138" s="306"/>
      <x:c r="C138" s="306"/>
      <x:c r="D138" s="306"/>
      <x:c r="E138" s="306"/>
      <x:c r="F138" s="306"/>
      <x:c r="G138" s="306"/>
      <x:c r="H138" s="306"/>
      <x:c r="I138" s="306"/>
      <x:c r="J138" s="306"/>
      <x:c r="K138" s="306"/>
      <x:c r="L138" s="306"/>
      <x:c r="M138" s="306"/>
      <x:c r="N138" s="306"/>
      <x:c r="O138" s="306"/>
      <x:c r="P138" s="306"/>
      <x:c r="Q138" s="306"/>
    </x:row>
    <x:row r="139">
      <x:c r="A139" s="306"/>
      <x:c r="B139" s="306"/>
      <x:c r="C139" s="306"/>
      <x:c r="D139" s="306"/>
      <x:c r="E139" s="306"/>
      <x:c r="F139" s="306"/>
      <x:c r="G139" s="306"/>
      <x:c r="H139" s="306"/>
      <x:c r="I139" s="306"/>
      <x:c r="J139" s="306"/>
      <x:c r="K139" s="306"/>
      <x:c r="L139" s="306"/>
      <x:c r="M139" s="306"/>
      <x:c r="N139" s="306"/>
      <x:c r="O139" s="306"/>
      <x:c r="P139" s="306"/>
      <x:c r="Q139" s="306"/>
    </x:row>
    <x:row r="140">
      <x:c r="A140" s="306"/>
      <x:c r="B140" s="306"/>
      <x:c r="C140" s="306"/>
      <x:c r="D140" s="306"/>
      <x:c r="E140" s="306"/>
      <x:c r="F140" s="306"/>
      <x:c r="G140" s="306"/>
      <x:c r="H140" s="306"/>
      <x:c r="I140" s="306"/>
      <x:c r="J140" s="306"/>
      <x:c r="K140" s="306"/>
      <x:c r="L140" s="306"/>
      <x:c r="M140" s="306"/>
      <x:c r="N140" s="306"/>
      <x:c r="O140" s="306"/>
      <x:c r="P140" s="306"/>
      <x:c r="Q140" s="306"/>
    </x:row>
    <x:row r="141">
      <x:c r="A141" s="306"/>
      <x:c r="B141" s="306"/>
      <x:c r="C141" s="306"/>
      <x:c r="D141" s="306"/>
      <x:c r="E141" s="306"/>
      <x:c r="F141" s="306"/>
      <x:c r="G141" s="306"/>
      <x:c r="H141" s="306"/>
      <x:c r="I141" s="306"/>
      <x:c r="J141" s="306"/>
      <x:c r="K141" s="306"/>
      <x:c r="L141" s="306"/>
      <x:c r="M141" s="306"/>
      <x:c r="N141" s="306"/>
      <x:c r="O141" s="306"/>
      <x:c r="P141" s="306"/>
      <x:c r="Q141" s="306"/>
    </x:row>
    <x:row r="142">
      <x:c r="A142" s="306"/>
      <x:c r="B142" s="306"/>
      <x:c r="C142" s="306"/>
      <x:c r="D142" s="306"/>
      <x:c r="E142" s="306"/>
      <x:c r="F142" s="306"/>
      <x:c r="G142" s="306"/>
      <x:c r="H142" s="306"/>
      <x:c r="I142" s="306"/>
      <x:c r="J142" s="306"/>
      <x:c r="K142" s="306"/>
      <x:c r="L142" s="306"/>
      <x:c r="M142" s="306"/>
      <x:c r="N142" s="306"/>
      <x:c r="O142" s="306"/>
      <x:c r="P142" s="306"/>
      <x:c r="Q142" s="306"/>
    </x:row>
    <x:row r="143">
      <x:c r="A143" s="306"/>
      <x:c r="B143" s="306"/>
      <x:c r="C143" s="306"/>
      <x:c r="D143" s="306"/>
      <x:c r="E143" s="306"/>
      <x:c r="F143" s="306"/>
      <x:c r="G143" s="306"/>
      <x:c r="H143" s="306"/>
      <x:c r="I143" s="306"/>
      <x:c r="J143" s="306"/>
      <x:c r="K143" s="306"/>
      <x:c r="L143" s="306"/>
      <x:c r="M143" s="306"/>
      <x:c r="N143" s="306"/>
      <x:c r="O143" s="306"/>
      <x:c r="P143" s="306"/>
      <x:c r="Q143" s="306"/>
    </x:row>
    <x:row r="144">
      <x:c r="A144" s="306"/>
      <x:c r="B144" s="306"/>
      <x:c r="C144" s="306"/>
      <x:c r="D144" s="306"/>
      <x:c r="E144" s="306"/>
      <x:c r="F144" s="306"/>
      <x:c r="G144" s="306"/>
      <x:c r="H144" s="306"/>
      <x:c r="I144" s="306"/>
      <x:c r="J144" s="306"/>
      <x:c r="K144" s="306"/>
      <x:c r="L144" s="306"/>
      <x:c r="M144" s="306"/>
      <x:c r="N144" s="306"/>
      <x:c r="O144" s="306"/>
      <x:c r="P144" s="306"/>
      <x:c r="Q144" s="306"/>
    </x:row>
    <x:row r="145">
      <x:c r="A145" s="306"/>
      <x:c r="B145" s="306"/>
      <x:c r="C145" s="306"/>
      <x:c r="D145" s="306"/>
      <x:c r="E145" s="306"/>
      <x:c r="F145" s="306"/>
      <x:c r="G145" s="306"/>
      <x:c r="H145" s="306"/>
      <x:c r="I145" s="306"/>
      <x:c r="J145" s="306"/>
      <x:c r="K145" s="306"/>
      <x:c r="L145" s="306"/>
      <x:c r="M145" s="306"/>
      <x:c r="N145" s="306"/>
      <x:c r="O145" s="306"/>
      <x:c r="P145" s="306"/>
      <x:c r="Q145" s="306"/>
    </x:row>
    <x:row r="146">
      <x:c r="A146" s="306"/>
      <x:c r="B146" s="306"/>
      <x:c r="C146" s="306"/>
      <x:c r="D146" s="306"/>
      <x:c r="E146" s="306"/>
      <x:c r="F146" s="306"/>
      <x:c r="G146" s="306"/>
      <x:c r="H146" s="306"/>
      <x:c r="I146" s="306"/>
      <x:c r="J146" s="306"/>
      <x:c r="K146" s="306"/>
      <x:c r="L146" s="306"/>
      <x:c r="M146" s="306"/>
      <x:c r="N146" s="306"/>
      <x:c r="O146" s="306"/>
      <x:c r="P146" s="306"/>
      <x:c r="Q146" s="306"/>
    </x:row>
    <x:row r="147">
      <x:c r="A147" s="306"/>
      <x:c r="B147" s="306"/>
      <x:c r="C147" s="306"/>
      <x:c r="D147" s="306"/>
      <x:c r="E147" s="306"/>
      <x:c r="F147" s="306"/>
      <x:c r="G147" s="306"/>
      <x:c r="H147" s="306"/>
      <x:c r="I147" s="306"/>
      <x:c r="J147" s="306"/>
      <x:c r="K147" s="306"/>
      <x:c r="L147" s="306"/>
      <x:c r="M147" s="306"/>
      <x:c r="N147" s="306"/>
      <x:c r="O147" s="306"/>
      <x:c r="P147" s="306"/>
      <x:c r="Q147" s="306"/>
    </x:row>
    <x:row r="148">
      <x:c r="A148" s="306"/>
      <x:c r="B148" s="306"/>
      <x:c r="C148" s="306"/>
      <x:c r="D148" s="306"/>
      <x:c r="E148" s="306"/>
      <x:c r="F148" s="306"/>
      <x:c r="G148" s="306"/>
      <x:c r="H148" s="306"/>
      <x:c r="I148" s="306"/>
      <x:c r="J148" s="306"/>
      <x:c r="K148" s="306"/>
      <x:c r="L148" s="306"/>
      <x:c r="M148" s="306"/>
      <x:c r="N148" s="306"/>
      <x:c r="O148" s="306"/>
      <x:c r="P148" s="306"/>
      <x:c r="Q148" s="306"/>
    </x:row>
    <x:row r="149">
      <x:c r="A149" s="306"/>
      <x:c r="B149" s="306"/>
      <x:c r="C149" s="306"/>
      <x:c r="D149" s="306"/>
      <x:c r="E149" s="306"/>
      <x:c r="F149" s="306"/>
      <x:c r="G149" s="306"/>
      <x:c r="H149" s="306"/>
      <x:c r="I149" s="306"/>
      <x:c r="J149" s="306"/>
      <x:c r="K149" s="306"/>
      <x:c r="L149" s="306"/>
      <x:c r="M149" s="306"/>
      <x:c r="N149" s="306"/>
      <x:c r="O149" s="306"/>
      <x:c r="P149" s="306"/>
      <x:c r="Q149" s="306"/>
    </x:row>
    <x:row r="150">
      <x:c r="A150" s="306"/>
      <x:c r="B150" s="306"/>
      <x:c r="C150" s="306"/>
      <x:c r="D150" s="306"/>
      <x:c r="E150" s="306"/>
      <x:c r="F150" s="306"/>
      <x:c r="G150" s="306"/>
      <x:c r="H150" s="306"/>
      <x:c r="I150" s="306"/>
      <x:c r="J150" s="306"/>
      <x:c r="K150" s="306"/>
      <x:c r="L150" s="306"/>
      <x:c r="M150" s="306"/>
      <x:c r="N150" s="306"/>
      <x:c r="O150" s="306"/>
      <x:c r="P150" s="306"/>
      <x:c r="Q150" s="306"/>
    </x:row>
    <x:row r="151">
      <x:c r="A151" s="306"/>
      <x:c r="B151" s="306"/>
      <x:c r="C151" s="306"/>
      <x:c r="D151" s="306"/>
      <x:c r="E151" s="306"/>
      <x:c r="F151" s="306"/>
      <x:c r="G151" s="306"/>
      <x:c r="H151" s="306"/>
      <x:c r="I151" s="306"/>
      <x:c r="J151" s="306"/>
      <x:c r="K151" s="306"/>
      <x:c r="L151" s="306"/>
      <x:c r="M151" s="306"/>
      <x:c r="N151" s="306"/>
      <x:c r="O151" s="306"/>
      <x:c r="P151" s="306"/>
      <x:c r="Q151" s="306"/>
    </x:row>
    <x:row r="152">
      <x:c r="A152" s="306"/>
      <x:c r="B152" s="306"/>
      <x:c r="C152" s="306"/>
      <x:c r="D152" s="306"/>
      <x:c r="E152" s="306"/>
      <x:c r="F152" s="306"/>
      <x:c r="G152" s="306"/>
      <x:c r="H152" s="306"/>
      <x:c r="I152" s="306"/>
      <x:c r="J152" s="306"/>
      <x:c r="K152" s="306"/>
      <x:c r="L152" s="306"/>
      <x:c r="M152" s="306"/>
      <x:c r="N152" s="306"/>
      <x:c r="O152" s="306"/>
      <x:c r="P152" s="306"/>
      <x:c r="Q152" s="306"/>
    </x:row>
    <x:row r="153">
      <x:c r="A153" s="306"/>
      <x:c r="B153" s="306"/>
      <x:c r="C153" s="306"/>
      <x:c r="D153" s="306"/>
      <x:c r="E153" s="306"/>
      <x:c r="F153" s="306"/>
      <x:c r="G153" s="306"/>
      <x:c r="H153" s="306"/>
      <x:c r="I153" s="306"/>
      <x:c r="J153" s="306"/>
      <x:c r="K153" s="306"/>
      <x:c r="L153" s="306"/>
      <x:c r="M153" s="306"/>
      <x:c r="N153" s="306"/>
      <x:c r="O153" s="306"/>
      <x:c r="P153" s="306"/>
      <x:c r="Q153" s="306"/>
    </x:row>
    <x:row r="154">
      <x:c r="A154" s="306"/>
      <x:c r="B154" s="306"/>
      <x:c r="C154" s="306"/>
      <x:c r="D154" s="306"/>
      <x:c r="E154" s="306"/>
      <x:c r="F154" s="306"/>
      <x:c r="G154" s="306"/>
      <x:c r="H154" s="306"/>
      <x:c r="I154" s="306"/>
      <x:c r="J154" s="306"/>
      <x:c r="K154" s="306"/>
      <x:c r="L154" s="306"/>
      <x:c r="M154" s="306"/>
      <x:c r="N154" s="306"/>
      <x:c r="O154" s="306"/>
      <x:c r="P154" s="306"/>
      <x:c r="Q154" s="306"/>
    </x:row>
    <x:row r="155">
      <x:c r="A155" s="306"/>
      <x:c r="B155" s="306"/>
      <x:c r="C155" s="306"/>
      <x:c r="D155" s="306"/>
      <x:c r="E155" s="306"/>
      <x:c r="F155" s="306"/>
      <x:c r="G155" s="306"/>
      <x:c r="H155" s="306"/>
      <x:c r="I155" s="306"/>
      <x:c r="J155" s="306"/>
      <x:c r="K155" s="306"/>
      <x:c r="L155" s="306"/>
      <x:c r="M155" s="306"/>
      <x:c r="N155" s="306"/>
      <x:c r="O155" s="306"/>
      <x:c r="P155" s="306"/>
      <x:c r="Q155" s="306"/>
    </x:row>
    <x:row r="156">
      <x:c r="A156" s="306"/>
      <x:c r="B156" s="306"/>
      <x:c r="C156" s="306"/>
      <x:c r="D156" s="306"/>
      <x:c r="E156" s="306"/>
      <x:c r="F156" s="306"/>
      <x:c r="G156" s="306"/>
      <x:c r="H156" s="306"/>
      <x:c r="I156" s="306"/>
      <x:c r="J156" s="306"/>
      <x:c r="K156" s="306"/>
      <x:c r="L156" s="306"/>
      <x:c r="M156" s="306"/>
      <x:c r="N156" s="306"/>
      <x:c r="O156" s="306"/>
      <x:c r="P156" s="306"/>
      <x:c r="Q156" s="306"/>
    </x:row>
    <x:row r="157">
      <x:c r="A157" s="306"/>
      <x:c r="B157" s="306"/>
      <x:c r="C157" s="306"/>
      <x:c r="D157" s="306"/>
      <x:c r="E157" s="306"/>
      <x:c r="F157" s="306"/>
      <x:c r="G157" s="306"/>
      <x:c r="H157" s="306"/>
      <x:c r="I157" s="306"/>
      <x:c r="J157" s="306"/>
      <x:c r="K157" s="306"/>
      <x:c r="L157" s="306"/>
      <x:c r="M157" s="306"/>
      <x:c r="N157" s="306"/>
      <x:c r="O157" s="306"/>
      <x:c r="P157" s="306"/>
      <x:c r="Q157" s="306"/>
    </x:row>
    <x:row r="158">
      <x:c r="A158" s="306"/>
      <x:c r="B158" s="306"/>
      <x:c r="C158" s="306"/>
      <x:c r="D158" s="306"/>
      <x:c r="E158" s="306"/>
      <x:c r="F158" s="306"/>
      <x:c r="G158" s="306"/>
      <x:c r="H158" s="306"/>
      <x:c r="I158" s="306"/>
      <x:c r="J158" s="306"/>
      <x:c r="K158" s="306"/>
      <x:c r="L158" s="306"/>
      <x:c r="M158" s="306"/>
      <x:c r="N158" s="306"/>
      <x:c r="O158" s="306"/>
      <x:c r="P158" s="306"/>
      <x:c r="Q158" s="306"/>
    </x:row>
    <x:row r="159">
      <x:c r="A159" s="306"/>
      <x:c r="B159" s="306"/>
      <x:c r="C159" s="306"/>
      <x:c r="D159" s="306"/>
      <x:c r="E159" s="306"/>
      <x:c r="F159" s="306"/>
      <x:c r="G159" s="306"/>
      <x:c r="H159" s="306"/>
      <x:c r="I159" s="306"/>
      <x:c r="J159" s="306"/>
      <x:c r="K159" s="306"/>
      <x:c r="L159" s="306"/>
      <x:c r="M159" s="306"/>
      <x:c r="N159" s="306"/>
      <x:c r="O159" s="306"/>
      <x:c r="P159" s="306"/>
      <x:c r="Q159" s="306"/>
    </x:row>
    <x:row r="160">
      <x:c r="A160" s="306"/>
      <x:c r="B160" s="306"/>
      <x:c r="C160" s="306"/>
      <x:c r="D160" s="306"/>
      <x:c r="E160" s="306"/>
      <x:c r="F160" s="306"/>
      <x:c r="G160" s="306"/>
      <x:c r="H160" s="306"/>
      <x:c r="I160" s="306"/>
      <x:c r="J160" s="306"/>
      <x:c r="K160" s="306"/>
      <x:c r="L160" s="306"/>
      <x:c r="M160" s="306"/>
      <x:c r="N160" s="306"/>
      <x:c r="O160" s="306"/>
      <x:c r="P160" s="306"/>
      <x:c r="Q160" s="306"/>
    </x:row>
    <x:row r="161">
      <x:c r="A161" s="306"/>
      <x:c r="B161" s="306"/>
      <x:c r="C161" s="306"/>
      <x:c r="D161" s="306"/>
      <x:c r="E161" s="306"/>
      <x:c r="F161" s="306"/>
      <x:c r="G161" s="306"/>
      <x:c r="H161" s="306"/>
      <x:c r="I161" s="306"/>
      <x:c r="J161" s="306"/>
      <x:c r="K161" s="306"/>
      <x:c r="L161" s="306"/>
      <x:c r="M161" s="306"/>
      <x:c r="N161" s="306"/>
      <x:c r="O161" s="306"/>
      <x:c r="P161" s="306"/>
      <x:c r="Q161" s="306"/>
    </x:row>
    <x:row r="162">
      <x:c r="A162" s="306"/>
      <x:c r="B162" s="306"/>
      <x:c r="C162" s="306"/>
      <x:c r="D162" s="306"/>
      <x:c r="E162" s="306"/>
      <x:c r="F162" s="306"/>
      <x:c r="G162" s="306"/>
      <x:c r="H162" s="306"/>
      <x:c r="I162" s="306"/>
      <x:c r="J162" s="306"/>
      <x:c r="K162" s="306"/>
      <x:c r="L162" s="306"/>
      <x:c r="M162" s="306"/>
      <x:c r="N162" s="306"/>
      <x:c r="O162" s="306"/>
      <x:c r="P162" s="306"/>
      <x:c r="Q162" s="306"/>
    </x:row>
    <x:row r="163">
      <x:c r="A163" s="306"/>
      <x:c r="B163" s="306"/>
      <x:c r="C163" s="306"/>
      <x:c r="D163" s="306"/>
      <x:c r="E163" s="306"/>
      <x:c r="F163" s="306"/>
      <x:c r="G163" s="306"/>
      <x:c r="H163" s="306"/>
      <x:c r="I163" s="306"/>
      <x:c r="J163" s="306"/>
      <x:c r="K163" s="306"/>
      <x:c r="L163" s="306"/>
      <x:c r="M163" s="306"/>
      <x:c r="N163" s="306"/>
      <x:c r="O163" s="306"/>
      <x:c r="P163" s="306"/>
      <x:c r="Q163" s="306"/>
    </x:row>
    <x:row r="164">
      <x:c r="A164" s="306"/>
      <x:c r="B164" s="306"/>
      <x:c r="C164" s="306"/>
      <x:c r="D164" s="306"/>
      <x:c r="E164" s="306"/>
      <x:c r="F164" s="306"/>
      <x:c r="G164" s="306"/>
      <x:c r="H164" s="306"/>
      <x:c r="I164" s="306"/>
      <x:c r="J164" s="306"/>
      <x:c r="K164" s="306"/>
      <x:c r="L164" s="306"/>
      <x:c r="M164" s="306"/>
      <x:c r="N164" s="306"/>
      <x:c r="O164" s="306"/>
      <x:c r="P164" s="306"/>
      <x:c r="Q164" s="306"/>
    </x:row>
    <x:row r="165">
      <x:c r="A165" s="306"/>
      <x:c r="B165" s="306"/>
      <x:c r="C165" s="306"/>
      <x:c r="D165" s="306"/>
      <x:c r="E165" s="306"/>
      <x:c r="F165" s="306"/>
      <x:c r="G165" s="306"/>
      <x:c r="H165" s="306"/>
      <x:c r="I165" s="306"/>
      <x:c r="J165" s="306"/>
      <x:c r="K165" s="306"/>
      <x:c r="L165" s="306"/>
      <x:c r="M165" s="306"/>
      <x:c r="N165" s="306"/>
      <x:c r="O165" s="306"/>
      <x:c r="P165" s="306"/>
      <x:c r="Q165" s="306"/>
    </x:row>
    <x:row r="166">
      <x:c r="A166" s="306"/>
      <x:c r="B166" s="306"/>
      <x:c r="C166" s="306"/>
      <x:c r="D166" s="306"/>
      <x:c r="E166" s="306"/>
      <x:c r="F166" s="306"/>
      <x:c r="G166" s="306"/>
      <x:c r="H166" s="306"/>
      <x:c r="I166" s="306"/>
      <x:c r="J166" s="306"/>
      <x:c r="K166" s="306"/>
      <x:c r="L166" s="306"/>
      <x:c r="M166" s="306"/>
      <x:c r="N166" s="306"/>
      <x:c r="O166" s="306"/>
      <x:c r="P166" s="306"/>
      <x:c r="Q166" s="306"/>
    </x:row>
    <x:row r="167">
      <x:c r="A167" s="306"/>
      <x:c r="B167" s="306"/>
      <x:c r="C167" s="306"/>
      <x:c r="D167" s="306"/>
      <x:c r="E167" s="306"/>
      <x:c r="F167" s="306"/>
      <x:c r="G167" s="306"/>
      <x:c r="H167" s="306"/>
      <x:c r="I167" s="306"/>
      <x:c r="J167" s="306"/>
      <x:c r="K167" s="306"/>
      <x:c r="L167" s="306"/>
      <x:c r="M167" s="306"/>
      <x:c r="N167" s="306"/>
      <x:c r="O167" s="306"/>
      <x:c r="P167" s="306"/>
      <x:c r="Q167" s="306"/>
    </x:row>
    <x:row r="168">
      <x:c r="A168" s="306"/>
      <x:c r="B168" s="306"/>
      <x:c r="C168" s="306"/>
      <x:c r="D168" s="306"/>
      <x:c r="E168" s="306"/>
      <x:c r="F168" s="306"/>
      <x:c r="G168" s="306"/>
      <x:c r="H168" s="306"/>
      <x:c r="I168" s="306"/>
      <x:c r="J168" s="306"/>
      <x:c r="K168" s="306"/>
      <x:c r="L168" s="306"/>
      <x:c r="M168" s="306"/>
      <x:c r="N168" s="306"/>
      <x:c r="O168" s="306"/>
      <x:c r="P168" s="306"/>
      <x:c r="Q168" s="306"/>
    </x:row>
    <x:row r="169">
      <x:c r="A169" s="306"/>
      <x:c r="B169" s="306"/>
      <x:c r="C169" s="306"/>
      <x:c r="D169" s="306"/>
      <x:c r="E169" s="306"/>
      <x:c r="F169" s="306"/>
      <x:c r="G169" s="306"/>
      <x:c r="H169" s="306"/>
      <x:c r="I169" s="306"/>
      <x:c r="J169" s="306"/>
      <x:c r="K169" s="306"/>
      <x:c r="L169" s="306"/>
      <x:c r="M169" s="306"/>
      <x:c r="N169" s="306"/>
      <x:c r="O169" s="306"/>
      <x:c r="P169" s="306"/>
      <x:c r="Q169" s="306"/>
    </x:row>
    <x:row r="170">
      <x:c r="A170" s="306"/>
      <x:c r="B170" s="306"/>
      <x:c r="C170" s="306"/>
      <x:c r="D170" s="306"/>
      <x:c r="E170" s="306"/>
      <x:c r="F170" s="306"/>
      <x:c r="G170" s="306"/>
      <x:c r="H170" s="306"/>
      <x:c r="I170" s="306"/>
      <x:c r="J170" s="306"/>
      <x:c r="K170" s="306"/>
      <x:c r="L170" s="306"/>
      <x:c r="M170" s="306"/>
      <x:c r="N170" s="306"/>
      <x:c r="O170" s="306"/>
      <x:c r="P170" s="306"/>
      <x:c r="Q170" s="306"/>
    </x:row>
    <x:row r="171">
      <x:c r="A171" s="306"/>
      <x:c r="B171" s="306"/>
      <x:c r="C171" s="306"/>
      <x:c r="D171" s="306"/>
      <x:c r="E171" s="306"/>
      <x:c r="F171" s="306"/>
      <x:c r="G171" s="306"/>
      <x:c r="H171" s="306"/>
      <x:c r="I171" s="306"/>
      <x:c r="J171" s="306"/>
      <x:c r="K171" s="306"/>
      <x:c r="L171" s="306"/>
      <x:c r="M171" s="306"/>
      <x:c r="N171" s="306"/>
      <x:c r="O171" s="306"/>
      <x:c r="P171" s="306"/>
      <x:c r="Q171" s="306"/>
    </x:row>
    <x:row r="172">
      <x:c r="A172" s="306"/>
      <x:c r="B172" s="306"/>
      <x:c r="C172" s="306"/>
      <x:c r="D172" s="306"/>
      <x:c r="E172" s="306"/>
      <x:c r="F172" s="306"/>
      <x:c r="G172" s="306"/>
      <x:c r="H172" s="306"/>
      <x:c r="I172" s="306"/>
      <x:c r="J172" s="306"/>
      <x:c r="K172" s="306"/>
      <x:c r="L172" s="306"/>
      <x:c r="M172" s="306"/>
      <x:c r="N172" s="306"/>
      <x:c r="O172" s="306"/>
      <x:c r="P172" s="306"/>
      <x:c r="Q172" s="306"/>
    </x:row>
    <x:row r="173">
      <x:c r="A173" s="306"/>
      <x:c r="B173" s="306"/>
      <x:c r="C173" s="306"/>
      <x:c r="D173" s="306"/>
      <x:c r="E173" s="306"/>
      <x:c r="F173" s="306"/>
      <x:c r="G173" s="306"/>
      <x:c r="H173" s="306"/>
      <x:c r="I173" s="306"/>
      <x:c r="J173" s="306"/>
      <x:c r="K173" s="306"/>
      <x:c r="L173" s="306"/>
      <x:c r="M173" s="306"/>
      <x:c r="N173" s="306"/>
      <x:c r="O173" s="306"/>
      <x:c r="P173" s="306"/>
      <x:c r="Q173" s="306"/>
    </x:row>
    <x:row r="174">
      <x:c r="A174" s="306"/>
      <x:c r="B174" s="306"/>
      <x:c r="C174" s="306"/>
      <x:c r="D174" s="306"/>
      <x:c r="E174" s="306"/>
      <x:c r="F174" s="306"/>
      <x:c r="G174" s="306"/>
      <x:c r="H174" s="306"/>
      <x:c r="I174" s="306"/>
      <x:c r="J174" s="306"/>
      <x:c r="K174" s="306"/>
      <x:c r="L174" s="306"/>
      <x:c r="M174" s="306"/>
      <x:c r="N174" s="306"/>
      <x:c r="O174" s="306"/>
      <x:c r="P174" s="306"/>
      <x:c r="Q174" s="306"/>
    </x:row>
    <x:row r="175">
      <x:c r="A175" s="306"/>
      <x:c r="B175" s="306"/>
      <x:c r="C175" s="306"/>
      <x:c r="D175" s="306"/>
      <x:c r="E175" s="306"/>
      <x:c r="F175" s="306"/>
      <x:c r="G175" s="306"/>
      <x:c r="H175" s="306"/>
      <x:c r="I175" s="306"/>
      <x:c r="J175" s="306"/>
      <x:c r="K175" s="306"/>
      <x:c r="L175" s="306"/>
      <x:c r="M175" s="306"/>
      <x:c r="N175" s="306"/>
      <x:c r="O175" s="306"/>
      <x:c r="P175" s="306"/>
      <x:c r="Q175" s="306"/>
    </x:row>
    <x:row r="176">
      <x:c r="A176" s="306"/>
      <x:c r="B176" s="306"/>
      <x:c r="C176" s="306"/>
      <x:c r="D176" s="306"/>
      <x:c r="E176" s="306"/>
      <x:c r="F176" s="306"/>
      <x:c r="G176" s="306"/>
      <x:c r="H176" s="306"/>
      <x:c r="I176" s="306"/>
      <x:c r="J176" s="306"/>
      <x:c r="K176" s="306"/>
      <x:c r="L176" s="306"/>
      <x:c r="M176" s="306"/>
      <x:c r="N176" s="306"/>
      <x:c r="O176" s="306"/>
      <x:c r="P176" s="306"/>
      <x:c r="Q176" s="306"/>
    </x:row>
    <x:row r="177">
      <x:c r="A177" s="306"/>
      <x:c r="B177" s="306"/>
      <x:c r="C177" s="306"/>
      <x:c r="D177" s="306"/>
      <x:c r="E177" s="306"/>
      <x:c r="F177" s="306"/>
      <x:c r="G177" s="306"/>
      <x:c r="H177" s="306"/>
      <x:c r="I177" s="306"/>
      <x:c r="J177" s="306"/>
      <x:c r="K177" s="306"/>
      <x:c r="L177" s="306"/>
      <x:c r="M177" s="306"/>
      <x:c r="N177" s="306"/>
      <x:c r="O177" s="306"/>
      <x:c r="P177" s="306"/>
      <x:c r="Q177" s="306"/>
    </x:row>
    <x:row r="178">
      <x:c r="A178" s="306"/>
      <x:c r="B178" s="306"/>
      <x:c r="C178" s="306"/>
      <x:c r="D178" s="306"/>
      <x:c r="E178" s="306"/>
      <x:c r="F178" s="306"/>
      <x:c r="G178" s="306"/>
      <x:c r="H178" s="306"/>
      <x:c r="I178" s="306"/>
      <x:c r="J178" s="306"/>
      <x:c r="K178" s="306"/>
      <x:c r="L178" s="306"/>
      <x:c r="M178" s="306"/>
      <x:c r="N178" s="306"/>
      <x:c r="O178" s="306"/>
      <x:c r="P178" s="306"/>
      <x:c r="Q178" s="306"/>
    </x:row>
    <x:row r="179">
      <x:c r="A179" s="306"/>
      <x:c r="B179" s="306"/>
      <x:c r="C179" s="306"/>
      <x:c r="D179" s="306"/>
      <x:c r="E179" s="306"/>
      <x:c r="F179" s="306"/>
      <x:c r="G179" s="306"/>
      <x:c r="H179" s="306"/>
      <x:c r="I179" s="306"/>
      <x:c r="J179" s="306"/>
      <x:c r="K179" s="306"/>
      <x:c r="L179" s="306"/>
      <x:c r="M179" s="306"/>
      <x:c r="N179" s="306"/>
      <x:c r="O179" s="306"/>
      <x:c r="P179" s="306"/>
      <x:c r="Q179" s="306"/>
    </x:row>
    <x:row r="180">
      <x:c r="A180" s="306"/>
      <x:c r="B180" s="306"/>
      <x:c r="C180" s="306"/>
      <x:c r="D180" s="306"/>
      <x:c r="E180" s="306"/>
      <x:c r="F180" s="306"/>
      <x:c r="G180" s="306"/>
      <x:c r="H180" s="306"/>
      <x:c r="I180" s="306"/>
      <x:c r="J180" s="306"/>
      <x:c r="K180" s="306"/>
      <x:c r="L180" s="306"/>
      <x:c r="M180" s="306"/>
      <x:c r="N180" s="306"/>
      <x:c r="O180" s="306"/>
      <x:c r="P180" s="306"/>
      <x:c r="Q180" s="306"/>
    </x:row>
    <x:row r="181">
      <x:c r="A181" s="306"/>
      <x:c r="B181" s="306"/>
      <x:c r="C181" s="306"/>
      <x:c r="D181" s="306"/>
      <x:c r="E181" s="306"/>
      <x:c r="F181" s="306"/>
      <x:c r="G181" s="306"/>
      <x:c r="H181" s="306"/>
      <x:c r="I181" s="306"/>
      <x:c r="J181" s="306"/>
      <x:c r="K181" s="306"/>
      <x:c r="L181" s="306"/>
      <x:c r="M181" s="306"/>
      <x:c r="N181" s="306"/>
      <x:c r="O181" s="306"/>
      <x:c r="P181" s="306"/>
      <x:c r="Q181" s="306"/>
    </x:row>
    <x:row r="182">
      <x:c r="A182" s="306"/>
      <x:c r="B182" s="306"/>
      <x:c r="C182" s="306"/>
      <x:c r="D182" s="306"/>
      <x:c r="E182" s="306"/>
      <x:c r="F182" s="306"/>
      <x:c r="G182" s="306"/>
      <x:c r="H182" s="306"/>
      <x:c r="I182" s="306"/>
      <x:c r="J182" s="306"/>
      <x:c r="K182" s="306"/>
      <x:c r="L182" s="306"/>
      <x:c r="M182" s="306"/>
      <x:c r="N182" s="306"/>
      <x:c r="O182" s="306"/>
      <x:c r="P182" s="306"/>
      <x:c r="Q182" s="306"/>
    </x:row>
    <x:row r="183">
      <x:c r="A183" s="306"/>
      <x:c r="B183" s="306"/>
      <x:c r="C183" s="306"/>
      <x:c r="D183" s="306"/>
      <x:c r="E183" s="306"/>
      <x:c r="F183" s="306"/>
      <x:c r="G183" s="306"/>
      <x:c r="H183" s="306"/>
      <x:c r="I183" s="306"/>
      <x:c r="J183" s="306"/>
      <x:c r="K183" s="306"/>
      <x:c r="L183" s="306"/>
      <x:c r="M183" s="306"/>
      <x:c r="N183" s="306"/>
      <x:c r="O183" s="306"/>
      <x:c r="P183" s="306"/>
      <x:c r="Q183" s="306"/>
    </x:row>
    <x:row r="184">
      <x:c r="A184" s="306"/>
      <x:c r="B184" s="306"/>
      <x:c r="C184" s="306"/>
      <x:c r="D184" s="306"/>
      <x:c r="E184" s="306"/>
      <x:c r="F184" s="306"/>
      <x:c r="G184" s="306"/>
      <x:c r="H184" s="306"/>
      <x:c r="I184" s="306"/>
      <x:c r="J184" s="306"/>
      <x:c r="K184" s="306"/>
      <x:c r="L184" s="306"/>
      <x:c r="M184" s="306"/>
      <x:c r="N184" s="306"/>
      <x:c r="O184" s="306"/>
      <x:c r="P184" s="306"/>
      <x:c r="Q184" s="306"/>
    </x:row>
    <x:row r="185">
      <x:c r="A185" s="306"/>
      <x:c r="B185" s="306"/>
      <x:c r="C185" s="306"/>
      <x:c r="D185" s="306"/>
      <x:c r="E185" s="306"/>
      <x:c r="F185" s="306"/>
      <x:c r="G185" s="306"/>
      <x:c r="H185" s="306"/>
      <x:c r="I185" s="306"/>
      <x:c r="J185" s="306"/>
      <x:c r="K185" s="306"/>
      <x:c r="L185" s="306"/>
      <x:c r="M185" s="306"/>
      <x:c r="N185" s="306"/>
      <x:c r="O185" s="306"/>
      <x:c r="P185" s="306"/>
      <x:c r="Q185" s="306"/>
    </x:row>
    <x:row r="186">
      <x:c r="A186" s="306"/>
      <x:c r="B186" s="306"/>
      <x:c r="C186" s="306"/>
      <x:c r="D186" s="306"/>
      <x:c r="E186" s="306"/>
      <x:c r="F186" s="306"/>
      <x:c r="G186" s="306"/>
      <x:c r="H186" s="306"/>
      <x:c r="I186" s="306"/>
      <x:c r="J186" s="306"/>
      <x:c r="K186" s="306"/>
      <x:c r="L186" s="306"/>
      <x:c r="M186" s="306"/>
      <x:c r="N186" s="306"/>
      <x:c r="O186" s="306"/>
      <x:c r="P186" s="306"/>
      <x:c r="Q186" s="306"/>
    </x:row>
    <x:row r="187">
      <x:c r="A187" s="306"/>
      <x:c r="B187" s="306"/>
      <x:c r="C187" s="306"/>
      <x:c r="D187" s="306"/>
      <x:c r="E187" s="306"/>
      <x:c r="F187" s="306"/>
      <x:c r="G187" s="306"/>
      <x:c r="H187" s="306"/>
      <x:c r="I187" s="306"/>
      <x:c r="J187" s="306"/>
      <x:c r="K187" s="306"/>
      <x:c r="L187" s="306"/>
      <x:c r="M187" s="306"/>
      <x:c r="N187" s="306"/>
      <x:c r="O187" s="306"/>
      <x:c r="P187" s="306"/>
      <x:c r="Q187" s="306"/>
    </x:row>
    <x:row r="188">
      <x:c r="A188" s="306"/>
      <x:c r="B188" s="306"/>
      <x:c r="C188" s="306"/>
      <x:c r="D188" s="306"/>
      <x:c r="E188" s="306"/>
      <x:c r="F188" s="306"/>
      <x:c r="G188" s="306"/>
      <x:c r="H188" s="306"/>
      <x:c r="I188" s="306"/>
      <x:c r="J188" s="306"/>
      <x:c r="K188" s="306"/>
      <x:c r="L188" s="306"/>
      <x:c r="M188" s="306"/>
      <x:c r="N188" s="306"/>
      <x:c r="O188" s="306"/>
      <x:c r="P188" s="306"/>
      <x:c r="Q188" s="306"/>
    </x:row>
    <x:row r="189">
      <x:c r="A189" s="306"/>
      <x:c r="B189" s="306"/>
      <x:c r="C189" s="306"/>
      <x:c r="D189" s="306"/>
      <x:c r="E189" s="306"/>
      <x:c r="F189" s="306"/>
      <x:c r="G189" s="306"/>
      <x:c r="H189" s="306"/>
      <x:c r="I189" s="306"/>
      <x:c r="J189" s="306"/>
      <x:c r="K189" s="306"/>
      <x:c r="L189" s="306"/>
      <x:c r="M189" s="306"/>
      <x:c r="N189" s="306"/>
      <x:c r="O189" s="306"/>
      <x:c r="P189" s="306"/>
      <x:c r="Q189" s="306"/>
    </x:row>
    <x:row r="190">
      <x:c r="A190" s="306"/>
      <x:c r="B190" s="306"/>
      <x:c r="C190" s="306"/>
      <x:c r="D190" s="306"/>
      <x:c r="E190" s="306"/>
      <x:c r="F190" s="306"/>
      <x:c r="G190" s="306"/>
      <x:c r="H190" s="306"/>
      <x:c r="I190" s="306"/>
      <x:c r="J190" s="306"/>
      <x:c r="K190" s="306"/>
      <x:c r="L190" s="306"/>
      <x:c r="M190" s="306"/>
      <x:c r="N190" s="306"/>
      <x:c r="O190" s="306"/>
      <x:c r="P190" s="306"/>
      <x:c r="Q190" s="306"/>
    </x:row>
    <x:row r="191">
      <x:c r="A191" s="306"/>
      <x:c r="B191" s="306"/>
      <x:c r="C191" s="306"/>
      <x:c r="D191" s="306"/>
      <x:c r="E191" s="306"/>
      <x:c r="F191" s="306"/>
      <x:c r="G191" s="306"/>
      <x:c r="H191" s="306"/>
      <x:c r="I191" s="306"/>
      <x:c r="J191" s="306"/>
      <x:c r="K191" s="306"/>
      <x:c r="L191" s="306"/>
      <x:c r="M191" s="306"/>
      <x:c r="N191" s="306"/>
      <x:c r="O191" s="306"/>
      <x:c r="P191" s="306"/>
      <x:c r="Q191" s="306"/>
    </x:row>
    <x:row r="192">
      <x:c r="A192" s="306"/>
      <x:c r="B192" s="306"/>
      <x:c r="C192" s="306"/>
      <x:c r="D192" s="306"/>
      <x:c r="E192" s="306"/>
      <x:c r="F192" s="306"/>
      <x:c r="G192" s="306"/>
      <x:c r="H192" s="306"/>
      <x:c r="I192" s="306"/>
      <x:c r="J192" s="306"/>
      <x:c r="K192" s="306"/>
      <x:c r="L192" s="306"/>
      <x:c r="M192" s="306"/>
      <x:c r="N192" s="306"/>
      <x:c r="O192" s="306"/>
      <x:c r="P192" s="306"/>
      <x:c r="Q192" s="306"/>
    </x:row>
    <x:row r="193">
      <x:c r="A193" s="306"/>
      <x:c r="B193" s="306"/>
      <x:c r="C193" s="306"/>
      <x:c r="D193" s="306"/>
      <x:c r="E193" s="306"/>
      <x:c r="F193" s="306"/>
      <x:c r="G193" s="306"/>
      <x:c r="H193" s="306"/>
      <x:c r="I193" s="306"/>
      <x:c r="J193" s="306"/>
      <x:c r="K193" s="306"/>
      <x:c r="L193" s="306"/>
      <x:c r="M193" s="306"/>
      <x:c r="N193" s="306"/>
      <x:c r="O193" s="306"/>
      <x:c r="P193" s="306"/>
      <x:c r="Q193" s="306"/>
    </x:row>
    <x:row r="194">
      <x:c r="A194" s="306"/>
      <x:c r="B194" s="306"/>
      <x:c r="C194" s="306"/>
      <x:c r="D194" s="306"/>
      <x:c r="E194" s="306"/>
      <x:c r="F194" s="306"/>
      <x:c r="G194" s="306"/>
      <x:c r="H194" s="306"/>
      <x:c r="I194" s="306"/>
      <x:c r="J194" s="306"/>
      <x:c r="K194" s="306"/>
      <x:c r="L194" s="306"/>
      <x:c r="M194" s="306"/>
      <x:c r="N194" s="306"/>
      <x:c r="O194" s="306"/>
      <x:c r="P194" s="306"/>
      <x:c r="Q194" s="306"/>
    </x:row>
    <x:row r="195">
      <x:c r="A195" s="306"/>
      <x:c r="B195" s="306"/>
      <x:c r="C195" s="306"/>
      <x:c r="D195" s="306"/>
      <x:c r="E195" s="306"/>
      <x:c r="F195" s="306"/>
      <x:c r="G195" s="306"/>
      <x:c r="H195" s="306"/>
      <x:c r="I195" s="306"/>
      <x:c r="J195" s="306"/>
      <x:c r="K195" s="306"/>
      <x:c r="L195" s="306"/>
      <x:c r="M195" s="306"/>
      <x:c r="N195" s="306"/>
      <x:c r="O195" s="306"/>
      <x:c r="P195" s="306"/>
      <x:c r="Q195" s="306"/>
    </x:row>
    <x:row r="196">
      <x:c r="A196" s="306"/>
      <x:c r="B196" s="306"/>
      <x:c r="C196" s="306"/>
      <x:c r="D196" s="306"/>
      <x:c r="E196" s="306"/>
      <x:c r="F196" s="306"/>
      <x:c r="G196" s="306"/>
      <x:c r="H196" s="306"/>
      <x:c r="I196" s="306"/>
      <x:c r="J196" s="306"/>
      <x:c r="K196" s="306"/>
      <x:c r="L196" s="306"/>
      <x:c r="M196" s="306"/>
      <x:c r="N196" s="306"/>
      <x:c r="O196" s="306"/>
      <x:c r="P196" s="306"/>
      <x:c r="Q196" s="306"/>
    </x:row>
    <x:row r="197">
      <x:c r="A197" s="306"/>
      <x:c r="B197" s="306"/>
      <x:c r="C197" s="306"/>
      <x:c r="D197" s="306"/>
      <x:c r="E197" s="306"/>
      <x:c r="F197" s="306"/>
      <x:c r="G197" s="306"/>
      <x:c r="H197" s="306"/>
      <x:c r="I197" s="306"/>
      <x:c r="J197" s="306"/>
      <x:c r="K197" s="306"/>
      <x:c r="L197" s="306"/>
      <x:c r="M197" s="306"/>
      <x:c r="N197" s="306"/>
      <x:c r="O197" s="306"/>
      <x:c r="P197" s="306"/>
      <x:c r="Q197" s="306"/>
    </x:row>
    <x:row r="198">
      <x:c r="A198" s="306"/>
      <x:c r="B198" s="306"/>
      <x:c r="C198" s="306"/>
      <x:c r="D198" s="306"/>
      <x:c r="E198" s="306"/>
      <x:c r="F198" s="306"/>
      <x:c r="G198" s="306"/>
      <x:c r="H198" s="306"/>
      <x:c r="I198" s="306"/>
      <x:c r="J198" s="306"/>
      <x:c r="K198" s="306"/>
      <x:c r="L198" s="306"/>
      <x:c r="M198" s="306"/>
      <x:c r="N198" s="306"/>
      <x:c r="O198" s="306"/>
      <x:c r="P198" s="306"/>
      <x:c r="Q198" s="306"/>
    </x:row>
    <x:row r="199">
      <x:c r="A199" s="306"/>
      <x:c r="B199" s="306"/>
      <x:c r="C199" s="306"/>
      <x:c r="D199" s="306"/>
      <x:c r="E199" s="306"/>
      <x:c r="F199" s="306"/>
      <x:c r="G199" s="306"/>
      <x:c r="H199" s="306"/>
      <x:c r="I199" s="306"/>
      <x:c r="J199" s="306"/>
      <x:c r="K199" s="306"/>
      <x:c r="L199" s="306"/>
      <x:c r="M199" s="306"/>
      <x:c r="N199" s="306"/>
      <x:c r="O199" s="306"/>
      <x:c r="P199" s="306"/>
      <x:c r="Q199" s="306"/>
    </x:row>
    <x:row r="200">
      <x:c r="A200" s="306"/>
      <x:c r="B200" s="306"/>
      <x:c r="C200" s="306"/>
      <x:c r="D200" s="306"/>
      <x:c r="E200" s="306"/>
      <x:c r="F200" s="306"/>
      <x:c r="G200" s="306"/>
      <x:c r="H200" s="306"/>
      <x:c r="I200" s="306"/>
      <x:c r="J200" s="306"/>
      <x:c r="K200" s="306"/>
      <x:c r="L200" s="306"/>
      <x:c r="M200" s="306"/>
      <x:c r="N200" s="306"/>
      <x:c r="O200" s="306"/>
      <x:c r="P200" s="306"/>
      <x:c r="Q200" s="306"/>
    </x:row>
    <x:row r="201">
      <x:c r="A201" s="306"/>
      <x:c r="B201" s="306"/>
      <x:c r="C201" s="306"/>
      <x:c r="D201" s="306"/>
      <x:c r="E201" s="306"/>
      <x:c r="F201" s="306"/>
      <x:c r="G201" s="306"/>
      <x:c r="H201" s="306"/>
      <x:c r="I201" s="306"/>
      <x:c r="J201" s="306"/>
      <x:c r="K201" s="306"/>
      <x:c r="L201" s="306"/>
      <x:c r="M201" s="306"/>
      <x:c r="N201" s="306"/>
      <x:c r="O201" s="306"/>
      <x:c r="P201" s="306"/>
      <x:c r="Q201" s="306"/>
    </x:row>
    <x:row r="202">
      <x:c r="A202" s="306"/>
      <x:c r="B202" s="306"/>
      <x:c r="C202" s="306"/>
      <x:c r="D202" s="306"/>
      <x:c r="E202" s="306"/>
      <x:c r="F202" s="306"/>
      <x:c r="G202" s="306"/>
      <x:c r="H202" s="306"/>
      <x:c r="I202" s="306"/>
      <x:c r="J202" s="306"/>
      <x:c r="K202" s="306"/>
      <x:c r="L202" s="306"/>
      <x:c r="M202" s="306"/>
      <x:c r="N202" s="306"/>
      <x:c r="O202" s="306"/>
      <x:c r="P202" s="306"/>
      <x:c r="Q202" s="306"/>
    </x:row>
    <x:row r="203">
      <x:c r="A203" s="306"/>
      <x:c r="B203" s="306"/>
      <x:c r="C203" s="306"/>
      <x:c r="D203" s="306"/>
      <x:c r="E203" s="306"/>
      <x:c r="F203" s="306"/>
      <x:c r="G203" s="306"/>
      <x:c r="H203" s="306"/>
      <x:c r="I203" s="306"/>
      <x:c r="J203" s="306"/>
      <x:c r="K203" s="306"/>
      <x:c r="L203" s="306"/>
      <x:c r="M203" s="306"/>
      <x:c r="N203" s="306"/>
      <x:c r="O203" s="306"/>
      <x:c r="P203" s="306"/>
      <x:c r="Q203" s="306"/>
    </x:row>
    <x:row r="204">
      <x:c r="A204" s="306"/>
      <x:c r="B204" s="306"/>
      <x:c r="C204" s="306"/>
      <x:c r="D204" s="306"/>
      <x:c r="E204" s="306"/>
      <x:c r="F204" s="306"/>
      <x:c r="G204" s="306"/>
      <x:c r="H204" s="306"/>
      <x:c r="I204" s="306"/>
      <x:c r="J204" s="306"/>
      <x:c r="K204" s="306"/>
      <x:c r="L204" s="306"/>
      <x:c r="M204" s="306"/>
      <x:c r="N204" s="306"/>
      <x:c r="O204" s="306"/>
      <x:c r="P204" s="306"/>
      <x:c r="Q204" s="306"/>
    </x:row>
  </x:sheetData>
  <x:mergeCells>
    <x:mergeCell ref="A1:K2"/>
    <x:mergeCell ref="A3:K3"/>
  </x:mergeCells>
  <x:conditionalFormatting sqref="J5:J16">
    <x:cfRule type="expression" dxfId="3" priority="1">
      <x:formula>J5="Done"</x:formula>
    </x:cfRule>
    <x:cfRule type="expression" dxfId="4" priority="2">
      <x:formula>J5="Partial"</x:formula>
    </x:cfRule>
  </x:conditionalFormatting>
  <x:conditionalFormatting sqref="K5:K16">
    <x:cfRule type="dataBar" priority="3">
      <x:dataBar>
        <x:cfvo type="min"/>
        <x:cfvo type="max"/>
        <x:color rgb="FF1565C0"/>
      </x:dataBar>
      <x:extLst>
        <x:ext xmlns:x14="http://schemas.microsoft.com/office/spreadsheetml/2009/9/main" uri="{B025F937-C7B1-47D3-B67F-A62EFF666E3E}">
          <x14:id>{D37605E2-5C84-4A9A-458C-9D03E06296CF}</x14:id>
        </x:ext>
      </x:extLst>
    </x:cfRule>
  </x:conditionalFormatting>
  <x:dataValidations count="1">
    <x:dataValidation type="list" sqref="J5:J16">
      <x:formula1>"Not Started,Partial,Done"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D37605E2-5C84-4A9A-458C-9D03E06296CF}">
            <x14:dataBar gradient="1">
              <x14:cfvo type="min"/>
              <x14:cfvo type="max"/>
              <x14:fillColor rgb="FF1565C0"/>
            </x14:dataBar>
          </x14:cfRule>
          <xm:sqref>K5:K16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35" hidden="0" customWidth="1"/>
    <x:col min="4" max="4" width="3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3" hidden="0" customWidth="1"/>
    <x:col min="10" max="10" width="33" hidden="0" customWidth="1"/>
    <x:col min="11" max="11" width="14" hidden="0" customWidth="1"/>
    <x:col min="12" max="12" width="10" hidden="0" customWidth="1"/>
  </x:cols>
  <x:sheetData>
    <x:row r="1" ht="34" customHeight="1">
      <x:c r="A1" s="389" t="str">
        <x:v>6-MONTH ROADMAP</x:v>
      </x:c>
      <x:c r="B1" s="389"/>
      <x:c r="C1" s="389"/>
      <x:c r="D1" s="389"/>
      <x:c r="E1" s="389"/>
      <x:c r="F1" s="389"/>
      <x:c r="G1" s="389"/>
      <x:c r="H1" s="389"/>
      <x:c r="I1" s="389"/>
      <x:c r="J1" s="389"/>
      <x:c r="K1" s="389"/>
      <x:c r="L1" s="389"/>
      <x:c r="M1" s="306"/>
      <x:c r="N1" s="306"/>
      <x:c r="O1" s="306"/>
      <x:c r="P1" s="306"/>
      <x:c r="Q1" s="306"/>
    </x:row>
    <x:row r="2" ht="34" customHeight="1">
      <x:c r="A2" s="389"/>
      <x:c r="B2" s="389"/>
      <x:c r="C2" s="389"/>
      <x:c r="D2" s="389"/>
      <x:c r="E2" s="389"/>
      <x:c r="F2" s="389"/>
      <x:c r="G2" s="389"/>
      <x:c r="H2" s="389"/>
      <x:c r="I2" s="389"/>
      <x:c r="J2" s="389"/>
      <x:c r="K2" s="389"/>
      <x:c r="L2" s="389"/>
      <x:c r="M2" s="306"/>
      <x:c r="N2" s="306"/>
      <x:c r="O2" s="306"/>
      <x:c r="P2" s="306"/>
      <x:c r="Q2" s="306"/>
    </x:row>
    <x:row r="3">
      <x:c r="A3" s="390" t="str">
        <x:v>The numbers below are starting targets. Edit the yellow target cells after Month 1 if your baseline requires adjustment.</x:v>
      </x:c>
      <x:c r="B3" s="390"/>
      <x:c r="C3" s="390"/>
      <x:c r="D3" s="390"/>
      <x:c r="E3" s="390"/>
      <x:c r="F3" s="390"/>
      <x:c r="G3" s="390"/>
      <x:c r="H3" s="390"/>
      <x:c r="I3" s="390"/>
      <x:c r="J3" s="390"/>
      <x:c r="K3" s="390"/>
      <x:c r="L3" s="390"/>
      <x:c r="M3" s="306"/>
      <x:c r="N3" s="306"/>
      <x:c r="O3" s="306"/>
      <x:c r="P3" s="306"/>
      <x:c r="Q3" s="306"/>
    </x:row>
    <x:row r="4">
      <x:c r="A4" s="332" t="str">
        <x:v>Month</x:v>
      </x:c>
      <x:c r="B4" s="333" t="str">
        <x:v>Primary Theme</x:v>
      </x:c>
      <x:c r="C4" s="333" t="str">
        <x:v>Vanilla Outcome</x:v>
      </x:c>
      <x:c r="D4" s="333" t="str">
        <x:v>Randomizer Outcome</x:v>
      </x:c>
      <x:c r="E4" s="333" t="str">
        <x:v>Sessions Target</x:v>
      </x:c>
      <x:c r="F4" s="333" t="str">
        <x:v>Practice Minutes</x:v>
      </x:c>
      <x:c r="G4" s="333" t="str">
        <x:v>Vanilla Completions</x:v>
      </x:c>
      <x:c r="H4" s="333" t="str">
        <x:v>Randomizer Finishes</x:v>
      </x:c>
      <x:c r="I4" s="333" t="str">
        <x:v>Performance Target</x:v>
      </x:c>
      <x:c r="J4" s="333" t="str">
        <x:v>End-of-Month Test</x:v>
      </x:c>
      <x:c r="K4" s="333" t="str">
        <x:v>Status</x:v>
      </x:c>
      <x:c r="L4" s="334" t="str">
        <x:v>Score</x:v>
      </x:c>
      <x:c r="M4" s="306"/>
      <x:c r="N4" s="306"/>
      <x:c r="O4" s="306"/>
      <x:c r="P4" s="306"/>
      <x:c r="Q4" s="306"/>
    </x:row>
    <x:row r="5" ht="76" customHeight="1">
      <x:c r="A5" s="311" t="str">
        <x:v>Month 1</x:v>
      </x:c>
      <x:c r="B5" s="312" t="str">
        <x:v>Consistency and baseline</x:v>
      </x:c>
      <x:c r="C5" s="312" t="str">
        <x:v>Build a repeatable practice habit and finish runs without constant resets.</x:v>
      </x:c>
      <x:c r="D5" s="312" t="str">
        <x:v>Learn your normal settings and record why seeds succeed or fail.</x:v>
      </x:c>
      <x:c r="E5" s="399" t="n">
        <x:v>20</x:v>
      </x:c>
      <x:c r="F5" s="399" t="n">
        <x:v>900</x:v>
      </x:c>
      <x:c r="G5" s="399" t="n">
        <x:v>4</x:v>
      </x:c>
      <x:c r="H5" s="399" t="n">
        <x:v>2</x:v>
      </x:c>
      <x:c r="I5" s="312" t="str">
        <x:v>Record baseline time, deaths, finish rate, and confidence.</x:v>
      </x:c>
      <x:c r="J5" s="312" t="str">
        <x:v>One vanilla run + one standard seed with full notes.</x:v>
      </x:c>
      <x:c r="K5" s="312" t="str">
        <x:v>Not Started</x:v>
      </x:c>
      <x:c r="L5" s="391" t="n">
        <x:f>IF(K5="Done",1,IF(K5="Partial",0.5,0))</x:f>
        <x:v>0</x:v>
      </x:c>
      <x:c r="M5" s="306"/>
      <x:c r="N5" s="306"/>
      <x:c r="O5" s="306"/>
      <x:c r="P5" s="306"/>
      <x:c r="Q5" s="306"/>
    </x:row>
    <x:row r="6" ht="76" customHeight="1">
      <x:c r="A6" s="317" t="str">
        <x:v>Month 2</x:v>
      </x:c>
      <x:c r="B6" s="318" t="str">
        <x:v>Movement and survival</x:v>
      </x:c>
      <x:c r="C6" s="318" t="str">
        <x:v>Reduce avoidable movement deaths and improve power-up retention.</x:v>
      </x:c>
      <x:c r="D6" s="318" t="str">
        <x:v>Slow down effectively in unfamiliar levels and finish more weak starts.</x:v>
      </x:c>
      <x:c r="E6" s="400" t="n">
        <x:v>20</x:v>
      </x:c>
      <x:c r="F6" s="400" t="n">
        <x:v>900</x:v>
      </x:c>
      <x:c r="G6" s="400" t="n">
        <x:v>6</x:v>
      </x:c>
      <x:c r="H6" s="400" t="n">
        <x:v>4</x:v>
      </x:c>
      <x:c r="I6" s="318" t="str">
        <x:v>Reduce average deaths by approximately 15% from Month 1.</x:v>
      </x:c>
      <x:c r="J6" s="318" t="str">
        <x:v>Two no-reset attempts in each mode.</x:v>
      </x:c>
      <x:c r="K6" s="318" t="str">
        <x:v>Not Started</x:v>
      </x:c>
      <x:c r="L6" s="392" t="n">
        <x:f>IF(K6="Done",1,IF(K6="Partial",0.5,0))</x:f>
        <x:v>0</x:v>
      </x:c>
      <x:c r="M6" s="306"/>
      <x:c r="N6" s="306"/>
      <x:c r="O6" s="306"/>
      <x:c r="P6" s="306"/>
      <x:c r="Q6" s="306"/>
    </x:row>
    <x:row r="7" ht="76" customHeight="1">
      <x:c r="A7" s="317" t="str">
        <x:v>Month 3</x:v>
      </x:c>
      <x:c r="B7" s="318" t="str">
        <x:v>Level knowledge and routing</x:v>
      </x:c>
      <x:c r="C7" s="318" t="str">
        <x:v>Create dependable strategies for your most troublesome levels.</x:v>
      </x:c>
      <x:c r="D7" s="318" t="str">
        <x:v>Recognize level types quickly and make route decisions with less hesitation.</x:v>
      </x:c>
      <x:c r="E7" s="400" t="n">
        <x:v>22</x:v>
      </x:c>
      <x:c r="F7" s="400" t="n">
        <x:v>990</x:v>
      </x:c>
      <x:c r="G7" s="400" t="n">
        <x:v>8</x:v>
      </x:c>
      <x:c r="H7" s="400" t="n">
        <x:v>6</x:v>
      </x:c>
      <x:c r="I7" s="318" t="str">
        <x:v>Improve average completed-run time by approximately 10%.</x:v>
      </x:c>
      <x:c r="J7" s="318" t="str">
        <x:v>Three benchmark attempts across one week.</x:v>
      </x:c>
      <x:c r="K7" s="318" t="str">
        <x:v>Not Started</x:v>
      </x:c>
      <x:c r="L7" s="392" t="n">
        <x:f>IF(K7="Done",1,IF(K7="Partial",0.5,0))</x:f>
        <x:v>0</x:v>
      </x:c>
      <x:c r="M7" s="306"/>
      <x:c r="N7" s="306"/>
      <x:c r="O7" s="306"/>
      <x:c r="P7" s="306"/>
      <x:c r="Q7" s="306"/>
    </x:row>
    <x:row r="8" ht="76" customHeight="1">
      <x:c r="A8" s="317" t="str">
        <x:v>Month 4</x:v>
      </x:c>
      <x:c r="B8" s="318" t="str">
        <x:v>Consistency under pressure</x:v>
      </x:c>
      <x:c r="C8" s="318" t="str">
        <x:v>Turn good segments into reliable full runs.</x:v>
      </x:c>
      <x:c r="D8" s="318" t="str">
        <x:v>Raise seed finish rate through recovery and inventory discipline.</x:v>
      </x:c>
      <x:c r="E8" s="400" t="n">
        <x:v>22</x:v>
      </x:c>
      <x:c r="F8" s="400" t="n">
        <x:v>990</x:v>
      </x:c>
      <x:c r="G8" s="400" t="n">
        <x:v>8</x:v>
      </x:c>
      <x:c r="H8" s="400" t="n">
        <x:v>8</x:v>
      </x:c>
      <x:c r="I8" s="318" t="str">
        <x:v>Reach at least a 70% finish rate across the month's serious attempts.</x:v>
      </x:c>
      <x:c r="J8" s="318" t="str">
        <x:v>Five-attempt consistency test.</x:v>
      </x:c>
      <x:c r="K8" s="318" t="str">
        <x:v>Not Started</x:v>
      </x:c>
      <x:c r="L8" s="392" t="n">
        <x:f>IF(K8="Done",1,IF(K8="Partial",0.5,0))</x:f>
        <x:v>0</x:v>
      </x:c>
      <x:c r="M8" s="306"/>
      <x:c r="N8" s="306"/>
      <x:c r="O8" s="306"/>
      <x:c r="P8" s="306"/>
      <x:c r="Q8" s="306"/>
    </x:row>
    <x:row r="9" ht="76" customHeight="1">
      <x:c r="A9" s="317" t="str">
        <x:v>Month 5</x:v>
      </x:c>
      <x:c r="B9" s="318" t="str">
        <x:v>Performance and personal bests</x:v>
      </x:c>
      <x:c r="C9" s="318" t="str">
        <x:v>Make one purposeful PB attempt each week after a short warm-up.</x:v>
      </x:c>
      <x:c r="D9" s="318" t="str">
        <x:v>Push time while preserving the decision rules that protect completion.</x:v>
      </x:c>
      <x:c r="E9" s="400" t="n">
        <x:v>24</x:v>
      </x:c>
      <x:c r="F9" s="400" t="n">
        <x:v>1080</x:v>
      </x:c>
      <x:c r="G9" s="400" t="n">
        <x:v>10</x:v>
      </x:c>
      <x:c r="H9" s="400" t="n">
        <x:v>8</x:v>
      </x:c>
      <x:c r="I9" s="318" t="str">
        <x:v>Set a new best in time, deaths, completion streak, or confidence.</x:v>
      </x:c>
      <x:c r="J9" s="318" t="str">
        <x:v>One serious PB day for each mode.</x:v>
      </x:c>
      <x:c r="K9" s="318" t="str">
        <x:v>Not Started</x:v>
      </x:c>
      <x:c r="L9" s="392" t="n">
        <x:f>IF(K9="Done",1,IF(K9="Partial",0.5,0))</x:f>
        <x:v>0</x:v>
      </x:c>
      <x:c r="M9" s="306"/>
      <x:c r="N9" s="306"/>
      <x:c r="O9" s="306"/>
      <x:c r="P9" s="306"/>
      <x:c r="Q9" s="306"/>
    </x:row>
    <x:row r="10" ht="76" customHeight="1">
      <x:c r="A10" s="324" t="str">
        <x:v>Month 6</x:v>
      </x:c>
      <x:c r="B10" s="325" t="str">
        <x:v>Mastery cycle and specialization</x:v>
      </x:c>
      <x:c r="C10" s="325" t="str">
        <x:v>Choose a specialty goal: speed, low deaths, no-reset consistency, or completion streak.</x:v>
      </x:c>
      <x:c r="D10" s="325" t="str">
        <x:v>Choose a specialty goal based on your preferred settings and seed style.</x:v>
      </x:c>
      <x:c r="E10" s="401" t="n">
        <x:v>24</x:v>
      </x:c>
      <x:c r="F10" s="401" t="n">
        <x:v>1080</x:v>
      </x:c>
      <x:c r="G10" s="401" t="n">
        <x:v>10</x:v>
      </x:c>
      <x:c r="H10" s="401" t="n">
        <x:v>10</x:v>
      </x:c>
      <x:c r="I10" s="325" t="str">
        <x:v>Complete at least 80% of the final 10 planned serious attempts.</x:v>
      </x:c>
      <x:c r="J10" s="325" t="str">
        <x:v>Repeat Month 1 tests and write the next six-month plan.</x:v>
      </x:c>
      <x:c r="K10" s="325" t="str">
        <x:v>Not Started</x:v>
      </x:c>
      <x:c r="L10" s="393" t="n">
        <x:f>IF(K10="Done",1,IF(K10="Partial",0.5,0))</x:f>
        <x:v>0</x:v>
      </x:c>
      <x:c r="M10" s="306"/>
      <x:c r="N10" s="306"/>
      <x:c r="O10" s="306"/>
      <x:c r="P10" s="306"/>
      <x:c r="Q10" s="306"/>
    </x:row>
    <x:row r="11">
      <x:c r="A11" s="306"/>
      <x:c r="B11" s="306"/>
      <x:c r="C11" s="306"/>
      <x:c r="D11" s="306"/>
      <x:c r="E11" s="306"/>
      <x:c r="F11" s="306"/>
      <x:c r="G11" s="306"/>
      <x:c r="H11" s="306"/>
      <x:c r="I11" s="306"/>
      <x:c r="J11" s="306"/>
      <x:c r="K11" s="306"/>
      <x:c r="L11" s="306"/>
      <x:c r="M11" s="306"/>
      <x:c r="N11" s="306"/>
      <x:c r="O11" s="306"/>
      <x:c r="P11" s="306"/>
      <x:c r="Q11" s="306"/>
    </x:row>
    <x:row r="12">
      <x:c r="A12" s="306"/>
      <x:c r="B12" s="306"/>
      <x:c r="C12" s="306"/>
      <x:c r="D12" s="306"/>
      <x:c r="E12" s="306"/>
      <x:c r="F12" s="306"/>
      <x:c r="G12" s="306"/>
      <x:c r="H12" s="306"/>
      <x:c r="I12" s="306"/>
      <x:c r="J12" s="306"/>
      <x:c r="K12" s="306"/>
      <x:c r="L12" s="306"/>
      <x:c r="M12" s="306"/>
      <x:c r="N12" s="306"/>
      <x:c r="O12" s="306"/>
      <x:c r="P12" s="306"/>
      <x:c r="Q12" s="306"/>
    </x:row>
    <x:row r="13">
      <x:c r="A13" s="306"/>
      <x:c r="B13" s="306"/>
      <x:c r="C13" s="306"/>
      <x:c r="D13" s="306"/>
      <x:c r="E13" s="306"/>
      <x:c r="F13" s="306"/>
      <x:c r="G13" s="306"/>
      <x:c r="H13" s="306"/>
      <x:c r="I13" s="306"/>
      <x:c r="J13" s="306"/>
      <x:c r="K13" s="306"/>
      <x:c r="L13" s="306"/>
      <x:c r="M13" s="306"/>
      <x:c r="N13" s="306"/>
      <x:c r="O13" s="306"/>
      <x:c r="P13" s="306"/>
      <x:c r="Q13" s="306"/>
    </x:row>
    <x:row r="14">
      <x:c r="A14" s="306"/>
      <x:c r="B14" s="306"/>
      <x:c r="C14" s="306"/>
      <x:c r="D14" s="306"/>
      <x:c r="E14" s="306"/>
      <x:c r="F14" s="306"/>
      <x:c r="G14" s="306"/>
      <x:c r="H14" s="306"/>
      <x:c r="I14" s="306"/>
      <x:c r="J14" s="306"/>
      <x:c r="K14" s="306"/>
      <x:c r="L14" s="306"/>
      <x:c r="M14" s="306"/>
      <x:c r="N14" s="306"/>
      <x:c r="O14" s="306"/>
      <x:c r="P14" s="306"/>
      <x:c r="Q14" s="306"/>
    </x:row>
    <x:row r="15">
      <x:c r="A15" s="306"/>
      <x:c r="B15" s="306"/>
      <x:c r="C15" s="306"/>
      <x:c r="D15" s="306"/>
      <x:c r="E15" s="306"/>
      <x:c r="F15" s="306"/>
      <x:c r="G15" s="306"/>
      <x:c r="H15" s="306"/>
      <x:c r="I15" s="306"/>
      <x:c r="J15" s="306"/>
      <x:c r="K15" s="306"/>
      <x:c r="L15" s="306"/>
      <x:c r="M15" s="306"/>
      <x:c r="N15" s="306"/>
      <x:c r="O15" s="306"/>
      <x:c r="P15" s="306"/>
      <x:c r="Q15" s="306"/>
    </x:row>
    <x:row r="16">
      <x:c r="A16" s="306"/>
      <x:c r="B16" s="306"/>
      <x:c r="C16" s="306"/>
      <x:c r="D16" s="306"/>
      <x:c r="E16" s="306"/>
      <x:c r="F16" s="306"/>
      <x:c r="G16" s="306"/>
      <x:c r="H16" s="306"/>
      <x:c r="I16" s="306"/>
      <x:c r="J16" s="306"/>
      <x:c r="K16" s="306"/>
      <x:c r="L16" s="306"/>
      <x:c r="M16" s="306"/>
      <x:c r="N16" s="306"/>
      <x:c r="O16" s="306"/>
      <x:c r="P16" s="306"/>
      <x:c r="Q16" s="306"/>
    </x:row>
    <x:row r="17">
      <x:c r="A17" s="306"/>
      <x:c r="B17" s="306"/>
      <x:c r="C17" s="306"/>
      <x:c r="D17" s="306"/>
      <x:c r="E17" s="306"/>
      <x:c r="F17" s="306"/>
      <x:c r="G17" s="306"/>
      <x:c r="H17" s="306"/>
      <x:c r="I17" s="306"/>
      <x:c r="J17" s="306"/>
      <x:c r="K17" s="306"/>
      <x:c r="L17" s="306"/>
      <x:c r="M17" s="306"/>
      <x:c r="N17" s="306"/>
      <x:c r="O17" s="306"/>
      <x:c r="P17" s="306"/>
      <x:c r="Q17" s="306"/>
    </x:row>
    <x:row r="18">
      <x:c r="A18" s="306"/>
      <x:c r="B18" s="306"/>
      <x:c r="C18" s="306"/>
      <x:c r="D18" s="306"/>
      <x:c r="E18" s="306"/>
      <x:c r="F18" s="306"/>
      <x:c r="G18" s="306"/>
      <x:c r="H18" s="306"/>
      <x:c r="I18" s="306"/>
      <x:c r="J18" s="306"/>
      <x:c r="K18" s="306"/>
      <x:c r="L18" s="306"/>
      <x:c r="M18" s="306"/>
      <x:c r="N18" s="306"/>
      <x:c r="O18" s="306"/>
      <x:c r="P18" s="306"/>
      <x:c r="Q18" s="306"/>
    </x:row>
    <x:row r="19">
      <x:c r="A19" s="306"/>
      <x:c r="B19" s="306"/>
      <x:c r="C19" s="306"/>
      <x:c r="D19" s="306"/>
      <x:c r="E19" s="306"/>
      <x:c r="F19" s="306"/>
      <x:c r="G19" s="306"/>
      <x:c r="H19" s="306"/>
      <x:c r="I19" s="306"/>
      <x:c r="J19" s="306"/>
      <x:c r="K19" s="306"/>
      <x:c r="L19" s="306"/>
      <x:c r="M19" s="306"/>
      <x:c r="N19" s="306"/>
      <x:c r="O19" s="306"/>
      <x:c r="P19" s="306"/>
      <x:c r="Q19" s="306"/>
    </x:row>
    <x:row r="20">
      <x:c r="A20" s="306"/>
      <x:c r="B20" s="306"/>
      <x:c r="C20" s="306"/>
      <x:c r="D20" s="306"/>
      <x:c r="E20" s="306"/>
      <x:c r="F20" s="306"/>
      <x:c r="G20" s="306"/>
      <x:c r="H20" s="306"/>
      <x:c r="I20" s="306"/>
      <x:c r="J20" s="306"/>
      <x:c r="K20" s="306"/>
      <x:c r="L20" s="306"/>
      <x:c r="M20" s="306"/>
      <x:c r="N20" s="306"/>
      <x:c r="O20" s="306"/>
      <x:c r="P20" s="306"/>
      <x:c r="Q20" s="306"/>
    </x:row>
    <x:row r="21">
      <x:c r="A21" s="306"/>
      <x:c r="B21" s="306"/>
      <x:c r="C21" s="306"/>
      <x:c r="D21" s="306"/>
      <x:c r="E21" s="306"/>
      <x:c r="F21" s="306"/>
      <x:c r="G21" s="306"/>
      <x:c r="H21" s="306"/>
      <x:c r="I21" s="306"/>
      <x:c r="J21" s="306"/>
      <x:c r="K21" s="306"/>
      <x:c r="L21" s="306"/>
      <x:c r="M21" s="306"/>
      <x:c r="N21" s="306"/>
      <x:c r="O21" s="306"/>
      <x:c r="P21" s="306"/>
      <x:c r="Q21" s="306"/>
    </x:row>
    <x:row r="22">
      <x:c r="A22" s="306"/>
      <x:c r="B22" s="306"/>
      <x:c r="C22" s="306"/>
      <x:c r="D22" s="306"/>
      <x:c r="E22" s="306"/>
      <x:c r="F22" s="306"/>
      <x:c r="G22" s="306"/>
      <x:c r="H22" s="306"/>
      <x:c r="I22" s="306"/>
      <x:c r="J22" s="306"/>
      <x:c r="K22" s="306"/>
      <x:c r="L22" s="306"/>
      <x:c r="M22" s="306"/>
      <x:c r="N22" s="306"/>
      <x:c r="O22" s="306"/>
      <x:c r="P22" s="306"/>
      <x:c r="Q22" s="306"/>
    </x:row>
    <x:row r="23">
      <x:c r="A23" s="306"/>
      <x:c r="B23" s="306"/>
      <x:c r="C23" s="306"/>
      <x:c r="D23" s="306"/>
      <x:c r="E23" s="306"/>
      <x:c r="F23" s="306"/>
      <x:c r="G23" s="306"/>
      <x:c r="H23" s="306"/>
      <x:c r="I23" s="306"/>
      <x:c r="J23" s="306"/>
      <x:c r="K23" s="306"/>
      <x:c r="L23" s="306"/>
      <x:c r="M23" s="306"/>
      <x:c r="N23" s="306"/>
      <x:c r="O23" s="306"/>
      <x:c r="P23" s="306"/>
      <x:c r="Q23" s="306"/>
    </x:row>
    <x:row r="24">
      <x:c r="A24" s="306"/>
      <x:c r="B24" s="306"/>
      <x:c r="C24" s="306"/>
      <x:c r="D24" s="306"/>
      <x:c r="E24" s="306"/>
      <x:c r="F24" s="306"/>
      <x:c r="G24" s="306"/>
      <x:c r="H24" s="306"/>
      <x:c r="I24" s="306"/>
      <x:c r="J24" s="306"/>
      <x:c r="K24" s="306"/>
      <x:c r="L24" s="306"/>
      <x:c r="M24" s="306"/>
      <x:c r="N24" s="306"/>
      <x:c r="O24" s="306"/>
      <x:c r="P24" s="306"/>
      <x:c r="Q24" s="306"/>
    </x:row>
    <x:row r="25">
      <x:c r="A25" s="306"/>
      <x:c r="B25" s="306"/>
      <x:c r="C25" s="306"/>
      <x:c r="D25" s="306"/>
      <x:c r="E25" s="306"/>
      <x:c r="F25" s="306"/>
      <x:c r="G25" s="306"/>
      <x:c r="H25" s="306"/>
      <x:c r="I25" s="306"/>
      <x:c r="J25" s="306"/>
      <x:c r="K25" s="306"/>
      <x:c r="L25" s="306"/>
      <x:c r="M25" s="306"/>
      <x:c r="N25" s="306"/>
      <x:c r="O25" s="306"/>
      <x:c r="P25" s="306"/>
      <x:c r="Q25" s="306"/>
    </x:row>
    <x:row r="26">
      <x:c r="A26" s="306"/>
      <x:c r="B26" s="306"/>
      <x:c r="C26" s="306"/>
      <x:c r="D26" s="306"/>
      <x:c r="E26" s="306"/>
      <x:c r="F26" s="306"/>
      <x:c r="G26" s="306"/>
      <x:c r="H26" s="306"/>
      <x:c r="I26" s="306"/>
      <x:c r="J26" s="306"/>
      <x:c r="K26" s="306"/>
      <x:c r="L26" s="306"/>
      <x:c r="M26" s="306"/>
      <x:c r="N26" s="306"/>
      <x:c r="O26" s="306"/>
      <x:c r="P26" s="306"/>
      <x:c r="Q26" s="306"/>
    </x:row>
    <x:row r="27">
      <x:c r="A27" s="306"/>
      <x:c r="B27" s="306"/>
      <x:c r="C27" s="306"/>
      <x:c r="D27" s="306"/>
      <x:c r="E27" s="306"/>
      <x:c r="F27" s="306"/>
      <x:c r="G27" s="306"/>
      <x:c r="H27" s="306"/>
      <x:c r="I27" s="306"/>
      <x:c r="J27" s="306"/>
      <x:c r="K27" s="306"/>
      <x:c r="L27" s="306"/>
      <x:c r="M27" s="306"/>
      <x:c r="N27" s="306"/>
      <x:c r="O27" s="306"/>
      <x:c r="P27" s="306"/>
      <x:c r="Q27" s="306"/>
    </x:row>
    <x:row r="28">
      <x:c r="A28" s="306"/>
      <x:c r="B28" s="306"/>
      <x:c r="C28" s="306"/>
      <x:c r="D28" s="306"/>
      <x:c r="E28" s="306"/>
      <x:c r="F28" s="306"/>
      <x:c r="G28" s="306"/>
      <x:c r="H28" s="306"/>
      <x:c r="I28" s="306"/>
      <x:c r="J28" s="306"/>
      <x:c r="K28" s="306"/>
      <x:c r="L28" s="306"/>
      <x:c r="M28" s="306"/>
      <x:c r="N28" s="306"/>
      <x:c r="O28" s="306"/>
      <x:c r="P28" s="306"/>
      <x:c r="Q28" s="306"/>
    </x:row>
    <x:row r="29">
      <x:c r="A29" s="306"/>
      <x:c r="B29" s="306"/>
      <x:c r="C29" s="306"/>
      <x:c r="D29" s="306"/>
      <x:c r="E29" s="306"/>
      <x:c r="F29" s="306"/>
      <x:c r="G29" s="306"/>
      <x:c r="H29" s="306"/>
      <x:c r="I29" s="306"/>
      <x:c r="J29" s="306"/>
      <x:c r="K29" s="306"/>
      <x:c r="L29" s="306"/>
      <x:c r="M29" s="306"/>
      <x:c r="N29" s="306"/>
      <x:c r="O29" s="306"/>
      <x:c r="P29" s="306"/>
      <x:c r="Q29" s="306"/>
    </x:row>
    <x:row r="30">
      <x:c r="A30" s="306"/>
      <x:c r="B30" s="306"/>
      <x:c r="C30" s="306"/>
      <x:c r="D30" s="306"/>
      <x:c r="E30" s="306"/>
      <x:c r="F30" s="306"/>
      <x:c r="G30" s="306"/>
      <x:c r="H30" s="306"/>
      <x:c r="I30" s="306"/>
      <x:c r="J30" s="306"/>
      <x:c r="K30" s="306"/>
      <x:c r="L30" s="306"/>
      <x:c r="M30" s="306"/>
      <x:c r="N30" s="306"/>
      <x:c r="O30" s="306"/>
      <x:c r="P30" s="306"/>
      <x:c r="Q30" s="306"/>
    </x:row>
    <x:row r="31">
      <x:c r="A31" s="306"/>
      <x:c r="B31" s="306"/>
      <x:c r="C31" s="306"/>
      <x:c r="D31" s="306"/>
      <x:c r="E31" s="306"/>
      <x:c r="F31" s="306"/>
      <x:c r="G31" s="306"/>
      <x:c r="H31" s="306"/>
      <x:c r="I31" s="306"/>
      <x:c r="J31" s="306"/>
      <x:c r="K31" s="306"/>
      <x:c r="L31" s="306"/>
      <x:c r="M31" s="306"/>
      <x:c r="N31" s="306"/>
      <x:c r="O31" s="306"/>
      <x:c r="P31" s="306"/>
      <x:c r="Q31" s="306"/>
    </x:row>
    <x:row r="32">
      <x:c r="A32" s="306"/>
      <x:c r="B32" s="306"/>
      <x:c r="C32" s="306"/>
      <x:c r="D32" s="306"/>
      <x:c r="E32" s="306"/>
      <x:c r="F32" s="306"/>
      <x:c r="G32" s="306"/>
      <x:c r="H32" s="306"/>
      <x:c r="I32" s="306"/>
      <x:c r="J32" s="306"/>
      <x:c r="K32" s="306"/>
      <x:c r="L32" s="306"/>
      <x:c r="M32" s="306"/>
      <x:c r="N32" s="306"/>
      <x:c r="O32" s="306"/>
      <x:c r="P32" s="306"/>
      <x:c r="Q32" s="306"/>
    </x:row>
    <x:row r="33">
      <x:c r="A33" s="306"/>
      <x:c r="B33" s="306"/>
      <x:c r="C33" s="306"/>
      <x:c r="D33" s="306"/>
      <x:c r="E33" s="306"/>
      <x:c r="F33" s="306"/>
      <x:c r="G33" s="306"/>
      <x:c r="H33" s="306"/>
      <x:c r="I33" s="306"/>
      <x:c r="J33" s="306"/>
      <x:c r="K33" s="306"/>
      <x:c r="L33" s="306"/>
      <x:c r="M33" s="306"/>
      <x:c r="N33" s="306"/>
      <x:c r="O33" s="306"/>
      <x:c r="P33" s="306"/>
      <x:c r="Q33" s="306"/>
    </x:row>
    <x:row r="34">
      <x:c r="A34" s="306"/>
      <x:c r="B34" s="306"/>
      <x:c r="C34" s="306"/>
      <x:c r="D34" s="306"/>
      <x:c r="E34" s="306"/>
      <x:c r="F34" s="306"/>
      <x:c r="G34" s="306"/>
      <x:c r="H34" s="306"/>
      <x:c r="I34" s="306"/>
      <x:c r="J34" s="306"/>
      <x:c r="K34" s="306"/>
      <x:c r="L34" s="306"/>
      <x:c r="M34" s="306"/>
      <x:c r="N34" s="306"/>
      <x:c r="O34" s="306"/>
      <x:c r="P34" s="306"/>
      <x:c r="Q34" s="306"/>
    </x:row>
    <x:row r="35">
      <x:c r="A35" s="306"/>
      <x:c r="B35" s="306"/>
      <x:c r="C35" s="306"/>
      <x:c r="D35" s="306"/>
      <x:c r="E35" s="306"/>
      <x:c r="F35" s="306"/>
      <x:c r="G35" s="306"/>
      <x:c r="H35" s="306"/>
      <x:c r="I35" s="306"/>
      <x:c r="J35" s="306"/>
      <x:c r="K35" s="306"/>
      <x:c r="L35" s="306"/>
      <x:c r="M35" s="306"/>
      <x:c r="N35" s="306"/>
      <x:c r="O35" s="306"/>
      <x:c r="P35" s="306"/>
      <x:c r="Q35" s="306"/>
    </x:row>
    <x:row r="36">
      <x:c r="A36" s="306"/>
      <x:c r="B36" s="306"/>
      <x:c r="C36" s="306"/>
      <x:c r="D36" s="306"/>
      <x:c r="E36" s="306"/>
      <x:c r="F36" s="306"/>
      <x:c r="G36" s="306"/>
      <x:c r="H36" s="306"/>
      <x:c r="I36" s="306"/>
      <x:c r="J36" s="306"/>
      <x:c r="K36" s="306"/>
      <x:c r="L36" s="306"/>
      <x:c r="M36" s="306"/>
      <x:c r="N36" s="306"/>
      <x:c r="O36" s="306"/>
      <x:c r="P36" s="306"/>
      <x:c r="Q36" s="306"/>
    </x:row>
    <x:row r="37">
      <x:c r="A37" s="306"/>
      <x:c r="B37" s="306"/>
      <x:c r="C37" s="306"/>
      <x:c r="D37" s="306"/>
      <x:c r="E37" s="306"/>
      <x:c r="F37" s="306"/>
      <x:c r="G37" s="306"/>
      <x:c r="H37" s="306"/>
      <x:c r="I37" s="306"/>
      <x:c r="J37" s="306"/>
      <x:c r="K37" s="306"/>
      <x:c r="L37" s="306"/>
      <x:c r="M37" s="306"/>
      <x:c r="N37" s="306"/>
      <x:c r="O37" s="306"/>
      <x:c r="P37" s="306"/>
      <x:c r="Q37" s="306"/>
    </x:row>
    <x:row r="38">
      <x:c r="A38" s="306"/>
      <x:c r="B38" s="306"/>
      <x:c r="C38" s="306"/>
      <x:c r="D38" s="306"/>
      <x:c r="E38" s="306"/>
      <x:c r="F38" s="306"/>
      <x:c r="G38" s="306"/>
      <x:c r="H38" s="306"/>
      <x:c r="I38" s="306"/>
      <x:c r="J38" s="306"/>
      <x:c r="K38" s="306"/>
      <x:c r="L38" s="306"/>
      <x:c r="M38" s="306"/>
      <x:c r="N38" s="306"/>
      <x:c r="O38" s="306"/>
      <x:c r="P38" s="306"/>
      <x:c r="Q38" s="306"/>
    </x:row>
    <x:row r="39">
      <x:c r="A39" s="306"/>
      <x:c r="B39" s="306"/>
      <x:c r="C39" s="306"/>
      <x:c r="D39" s="306"/>
      <x:c r="E39" s="306"/>
      <x:c r="F39" s="306"/>
      <x:c r="G39" s="306"/>
      <x:c r="H39" s="306"/>
      <x:c r="I39" s="306"/>
      <x:c r="J39" s="306"/>
      <x:c r="K39" s="306"/>
      <x:c r="L39" s="306"/>
      <x:c r="M39" s="306"/>
      <x:c r="N39" s="306"/>
      <x:c r="O39" s="306"/>
      <x:c r="P39" s="306"/>
      <x:c r="Q39" s="306"/>
    </x:row>
    <x:row r="40">
      <x:c r="A40" s="306"/>
      <x:c r="B40" s="306"/>
      <x:c r="C40" s="306"/>
      <x:c r="D40" s="306"/>
      <x:c r="E40" s="306"/>
      <x:c r="F40" s="306"/>
      <x:c r="G40" s="306"/>
      <x:c r="H40" s="306"/>
      <x:c r="I40" s="306"/>
      <x:c r="J40" s="306"/>
      <x:c r="K40" s="306"/>
      <x:c r="L40" s="306"/>
      <x:c r="M40" s="306"/>
      <x:c r="N40" s="306"/>
      <x:c r="O40" s="306"/>
      <x:c r="P40" s="306"/>
      <x:c r="Q40" s="306"/>
    </x:row>
    <x:row r="41">
      <x:c r="A41" s="306"/>
      <x:c r="B41" s="306"/>
      <x:c r="C41" s="306"/>
      <x:c r="D41" s="306"/>
      <x:c r="E41" s="306"/>
      <x:c r="F41" s="306"/>
      <x:c r="G41" s="306"/>
      <x:c r="H41" s="306"/>
      <x:c r="I41" s="306"/>
      <x:c r="J41" s="306"/>
      <x:c r="K41" s="306"/>
      <x:c r="L41" s="306"/>
      <x:c r="M41" s="306"/>
      <x:c r="N41" s="306"/>
      <x:c r="O41" s="306"/>
      <x:c r="P41" s="306"/>
      <x:c r="Q41" s="306"/>
    </x:row>
    <x:row r="42">
      <x:c r="A42" s="306"/>
      <x:c r="B42" s="306"/>
      <x:c r="C42" s="306"/>
      <x:c r="D42" s="306"/>
      <x:c r="E42" s="306"/>
      <x:c r="F42" s="306"/>
      <x:c r="G42" s="306"/>
      <x:c r="H42" s="306"/>
      <x:c r="I42" s="306"/>
      <x:c r="J42" s="306"/>
      <x:c r="K42" s="306"/>
      <x:c r="L42" s="306"/>
      <x:c r="M42" s="306"/>
      <x:c r="N42" s="306"/>
      <x:c r="O42" s="306"/>
      <x:c r="P42" s="306"/>
      <x:c r="Q42" s="306"/>
    </x:row>
    <x:row r="43">
      <x:c r="A43" s="306"/>
      <x:c r="B43" s="306"/>
      <x:c r="C43" s="306"/>
      <x:c r="D43" s="306"/>
      <x:c r="E43" s="306"/>
      <x:c r="F43" s="306"/>
      <x:c r="G43" s="306"/>
      <x:c r="H43" s="306"/>
      <x:c r="I43" s="306"/>
      <x:c r="J43" s="306"/>
      <x:c r="K43" s="306"/>
      <x:c r="L43" s="306"/>
      <x:c r="M43" s="306"/>
      <x:c r="N43" s="306"/>
      <x:c r="O43" s="306"/>
      <x:c r="P43" s="306"/>
      <x:c r="Q43" s="306"/>
    </x:row>
    <x:row r="44">
      <x:c r="A44" s="306"/>
      <x:c r="B44" s="306"/>
      <x:c r="C44" s="306"/>
      <x:c r="D44" s="306"/>
      <x:c r="E44" s="306"/>
      <x:c r="F44" s="306"/>
      <x:c r="G44" s="306"/>
      <x:c r="H44" s="306"/>
      <x:c r="I44" s="306"/>
      <x:c r="J44" s="306"/>
      <x:c r="K44" s="306"/>
      <x:c r="L44" s="306"/>
      <x:c r="M44" s="306"/>
      <x:c r="N44" s="306"/>
      <x:c r="O44" s="306"/>
      <x:c r="P44" s="306"/>
      <x:c r="Q44" s="306"/>
    </x:row>
    <x:row r="45">
      <x:c r="A45" s="306"/>
      <x:c r="B45" s="306"/>
      <x:c r="C45" s="306"/>
      <x:c r="D45" s="306"/>
      <x:c r="E45" s="306"/>
      <x:c r="F45" s="306"/>
      <x:c r="G45" s="306"/>
      <x:c r="H45" s="306"/>
      <x:c r="I45" s="306"/>
      <x:c r="J45" s="306"/>
      <x:c r="K45" s="306"/>
      <x:c r="L45" s="306"/>
      <x:c r="M45" s="306"/>
      <x:c r="N45" s="306"/>
      <x:c r="O45" s="306"/>
      <x:c r="P45" s="306"/>
      <x:c r="Q45" s="306"/>
    </x:row>
    <x:row r="46">
      <x:c r="A46" s="306"/>
      <x:c r="B46" s="306"/>
      <x:c r="C46" s="306"/>
      <x:c r="D46" s="306"/>
      <x:c r="E46" s="306"/>
      <x:c r="F46" s="306"/>
      <x:c r="G46" s="306"/>
      <x:c r="H46" s="306"/>
      <x:c r="I46" s="306"/>
      <x:c r="J46" s="306"/>
      <x:c r="K46" s="306"/>
      <x:c r="L46" s="306"/>
      <x:c r="M46" s="306"/>
      <x:c r="N46" s="306"/>
      <x:c r="O46" s="306"/>
      <x:c r="P46" s="306"/>
      <x:c r="Q46" s="306"/>
    </x:row>
    <x:row r="47">
      <x:c r="A47" s="306"/>
      <x:c r="B47" s="306"/>
      <x:c r="C47" s="306"/>
      <x:c r="D47" s="306"/>
      <x:c r="E47" s="306"/>
      <x:c r="F47" s="306"/>
      <x:c r="G47" s="306"/>
      <x:c r="H47" s="306"/>
      <x:c r="I47" s="306"/>
      <x:c r="J47" s="306"/>
      <x:c r="K47" s="306"/>
      <x:c r="L47" s="306"/>
      <x:c r="M47" s="306"/>
      <x:c r="N47" s="306"/>
      <x:c r="O47" s="306"/>
      <x:c r="P47" s="306"/>
      <x:c r="Q47" s="306"/>
    </x:row>
    <x:row r="48">
      <x:c r="A48" s="306"/>
      <x:c r="B48" s="306"/>
      <x:c r="C48" s="306"/>
      <x:c r="D48" s="306"/>
      <x:c r="E48" s="306"/>
      <x:c r="F48" s="306"/>
      <x:c r="G48" s="306"/>
      <x:c r="H48" s="306"/>
      <x:c r="I48" s="306"/>
      <x:c r="J48" s="306"/>
      <x:c r="K48" s="306"/>
      <x:c r="L48" s="306"/>
      <x:c r="M48" s="306"/>
      <x:c r="N48" s="306"/>
      <x:c r="O48" s="306"/>
      <x:c r="P48" s="306"/>
      <x:c r="Q48" s="306"/>
    </x:row>
    <x:row r="49">
      <x:c r="A49" s="306"/>
      <x:c r="B49" s="306"/>
      <x:c r="C49" s="306"/>
      <x:c r="D49" s="306"/>
      <x:c r="E49" s="306"/>
      <x:c r="F49" s="306"/>
      <x:c r="G49" s="306"/>
      <x:c r="H49" s="306"/>
      <x:c r="I49" s="306"/>
      <x:c r="J49" s="306"/>
      <x:c r="K49" s="306"/>
      <x:c r="L49" s="306"/>
      <x:c r="M49" s="306"/>
      <x:c r="N49" s="306"/>
      <x:c r="O49" s="306"/>
      <x:c r="P49" s="306"/>
      <x:c r="Q49" s="306"/>
    </x:row>
    <x:row r="50">
      <x:c r="A50" s="306"/>
      <x:c r="B50" s="306"/>
      <x:c r="C50" s="306"/>
      <x:c r="D50" s="306"/>
      <x:c r="E50" s="306"/>
      <x:c r="F50" s="306"/>
      <x:c r="G50" s="306"/>
      <x:c r="H50" s="306"/>
      <x:c r="I50" s="306"/>
      <x:c r="J50" s="306"/>
      <x:c r="K50" s="306"/>
      <x:c r="L50" s="306"/>
      <x:c r="M50" s="306"/>
      <x:c r="N50" s="306"/>
      <x:c r="O50" s="306"/>
      <x:c r="P50" s="306"/>
      <x:c r="Q50" s="306"/>
    </x:row>
    <x:row r="51">
      <x:c r="A51" s="306"/>
      <x:c r="B51" s="306"/>
      <x:c r="C51" s="306"/>
      <x:c r="D51" s="306"/>
      <x:c r="E51" s="306"/>
      <x:c r="F51" s="306"/>
      <x:c r="G51" s="306"/>
      <x:c r="H51" s="306"/>
      <x:c r="I51" s="306"/>
      <x:c r="J51" s="306"/>
      <x:c r="K51" s="306"/>
      <x:c r="L51" s="306"/>
      <x:c r="M51" s="306"/>
      <x:c r="N51" s="306"/>
      <x:c r="O51" s="306"/>
      <x:c r="P51" s="306"/>
      <x:c r="Q51" s="306"/>
    </x:row>
    <x:row r="52">
      <x:c r="A52" s="306"/>
      <x:c r="B52" s="306"/>
      <x:c r="C52" s="306"/>
      <x:c r="D52" s="306"/>
      <x:c r="E52" s="306"/>
      <x:c r="F52" s="306"/>
      <x:c r="G52" s="306"/>
      <x:c r="H52" s="306"/>
      <x:c r="I52" s="306"/>
      <x:c r="J52" s="306"/>
      <x:c r="K52" s="306"/>
      <x:c r="L52" s="306"/>
      <x:c r="M52" s="306"/>
      <x:c r="N52" s="306"/>
      <x:c r="O52" s="306"/>
      <x:c r="P52" s="306"/>
      <x:c r="Q52" s="306"/>
    </x:row>
    <x:row r="53">
      <x:c r="A53" s="306"/>
      <x:c r="B53" s="306"/>
      <x:c r="C53" s="306"/>
      <x:c r="D53" s="306"/>
      <x:c r="E53" s="306"/>
      <x:c r="F53" s="306"/>
      <x:c r="G53" s="306"/>
      <x:c r="H53" s="306"/>
      <x:c r="I53" s="306"/>
      <x:c r="J53" s="306"/>
      <x:c r="K53" s="306"/>
      <x:c r="L53" s="306"/>
      <x:c r="M53" s="306"/>
      <x:c r="N53" s="306"/>
      <x:c r="O53" s="306"/>
      <x:c r="P53" s="306"/>
      <x:c r="Q53" s="306"/>
    </x:row>
    <x:row r="54">
      <x:c r="A54" s="306"/>
      <x:c r="B54" s="306"/>
      <x:c r="C54" s="306"/>
      <x:c r="D54" s="306"/>
      <x:c r="E54" s="306"/>
      <x:c r="F54" s="306"/>
      <x:c r="G54" s="306"/>
      <x:c r="H54" s="306"/>
      <x:c r="I54" s="306"/>
      <x:c r="J54" s="306"/>
      <x:c r="K54" s="306"/>
      <x:c r="L54" s="306"/>
      <x:c r="M54" s="306"/>
      <x:c r="N54" s="306"/>
      <x:c r="O54" s="306"/>
      <x:c r="P54" s="306"/>
      <x:c r="Q54" s="306"/>
    </x:row>
    <x:row r="55">
      <x:c r="A55" s="306"/>
      <x:c r="B55" s="306"/>
      <x:c r="C55" s="306"/>
      <x:c r="D55" s="306"/>
      <x:c r="E55" s="306"/>
      <x:c r="F55" s="306"/>
      <x:c r="G55" s="306"/>
      <x:c r="H55" s="306"/>
      <x:c r="I55" s="306"/>
      <x:c r="J55" s="306"/>
      <x:c r="K55" s="306"/>
      <x:c r="L55" s="306"/>
      <x:c r="M55" s="306"/>
      <x:c r="N55" s="306"/>
      <x:c r="O55" s="306"/>
      <x:c r="P55" s="306"/>
      <x:c r="Q55" s="306"/>
    </x:row>
    <x:row r="56">
      <x:c r="A56" s="306"/>
      <x:c r="B56" s="306"/>
      <x:c r="C56" s="306"/>
      <x:c r="D56" s="306"/>
      <x:c r="E56" s="306"/>
      <x:c r="F56" s="306"/>
      <x:c r="G56" s="306"/>
      <x:c r="H56" s="306"/>
      <x:c r="I56" s="306"/>
      <x:c r="J56" s="306"/>
      <x:c r="K56" s="306"/>
      <x:c r="L56" s="306"/>
      <x:c r="M56" s="306"/>
      <x:c r="N56" s="306"/>
      <x:c r="O56" s="306"/>
      <x:c r="P56" s="306"/>
      <x:c r="Q56" s="306"/>
    </x:row>
    <x:row r="57">
      <x:c r="A57" s="306"/>
      <x:c r="B57" s="306"/>
      <x:c r="C57" s="306"/>
      <x:c r="D57" s="306"/>
      <x:c r="E57" s="306"/>
      <x:c r="F57" s="306"/>
      <x:c r="G57" s="306"/>
      <x:c r="H57" s="306"/>
      <x:c r="I57" s="306"/>
      <x:c r="J57" s="306"/>
      <x:c r="K57" s="306"/>
      <x:c r="L57" s="306"/>
      <x:c r="M57" s="306"/>
      <x:c r="N57" s="306"/>
      <x:c r="O57" s="306"/>
      <x:c r="P57" s="306"/>
      <x:c r="Q57" s="306"/>
    </x:row>
    <x:row r="58">
      <x:c r="A58" s="306"/>
      <x:c r="B58" s="306"/>
      <x:c r="C58" s="306"/>
      <x:c r="D58" s="306"/>
      <x:c r="E58" s="306"/>
      <x:c r="F58" s="306"/>
      <x:c r="G58" s="306"/>
      <x:c r="H58" s="306"/>
      <x:c r="I58" s="306"/>
      <x:c r="J58" s="306"/>
      <x:c r="K58" s="306"/>
      <x:c r="L58" s="306"/>
      <x:c r="M58" s="306"/>
      <x:c r="N58" s="306"/>
      <x:c r="O58" s="306"/>
      <x:c r="P58" s="306"/>
      <x:c r="Q58" s="306"/>
    </x:row>
    <x:row r="59">
      <x:c r="A59" s="306"/>
      <x:c r="B59" s="306"/>
      <x:c r="C59" s="306"/>
      <x:c r="D59" s="306"/>
      <x:c r="E59" s="306"/>
      <x:c r="F59" s="306"/>
      <x:c r="G59" s="306"/>
      <x:c r="H59" s="306"/>
      <x:c r="I59" s="306"/>
      <x:c r="J59" s="306"/>
      <x:c r="K59" s="306"/>
      <x:c r="L59" s="306"/>
      <x:c r="M59" s="306"/>
      <x:c r="N59" s="306"/>
      <x:c r="O59" s="306"/>
      <x:c r="P59" s="306"/>
      <x:c r="Q59" s="306"/>
    </x:row>
    <x:row r="60">
      <x:c r="A60" s="306"/>
      <x:c r="B60" s="306"/>
      <x:c r="C60" s="306"/>
      <x:c r="D60" s="306"/>
      <x:c r="E60" s="306"/>
      <x:c r="F60" s="306"/>
      <x:c r="G60" s="306"/>
      <x:c r="H60" s="306"/>
      <x:c r="I60" s="306"/>
      <x:c r="J60" s="306"/>
      <x:c r="K60" s="306"/>
      <x:c r="L60" s="306"/>
      <x:c r="M60" s="306"/>
      <x:c r="N60" s="306"/>
      <x:c r="O60" s="306"/>
      <x:c r="P60" s="306"/>
      <x:c r="Q60" s="306"/>
    </x:row>
    <x:row r="61">
      <x:c r="A61" s="306"/>
      <x:c r="B61" s="306"/>
      <x:c r="C61" s="306"/>
      <x:c r="D61" s="306"/>
      <x:c r="E61" s="306"/>
      <x:c r="F61" s="306"/>
      <x:c r="G61" s="306"/>
      <x:c r="H61" s="306"/>
      <x:c r="I61" s="306"/>
      <x:c r="J61" s="306"/>
      <x:c r="K61" s="306"/>
      <x:c r="L61" s="306"/>
      <x:c r="M61" s="306"/>
      <x:c r="N61" s="306"/>
      <x:c r="O61" s="306"/>
      <x:c r="P61" s="306"/>
      <x:c r="Q61" s="306"/>
    </x:row>
    <x:row r="62">
      <x:c r="A62" s="306"/>
      <x:c r="B62" s="306"/>
      <x:c r="C62" s="306"/>
      <x:c r="D62" s="306"/>
      <x:c r="E62" s="306"/>
      <x:c r="F62" s="306"/>
      <x:c r="G62" s="306"/>
      <x:c r="H62" s="306"/>
      <x:c r="I62" s="306"/>
      <x:c r="J62" s="306"/>
      <x:c r="K62" s="306"/>
      <x:c r="L62" s="306"/>
      <x:c r="M62" s="306"/>
      <x:c r="N62" s="306"/>
      <x:c r="O62" s="306"/>
      <x:c r="P62" s="306"/>
      <x:c r="Q62" s="306"/>
    </x:row>
    <x:row r="63">
      <x:c r="A63" s="306"/>
      <x:c r="B63" s="306"/>
      <x:c r="C63" s="306"/>
      <x:c r="D63" s="306"/>
      <x:c r="E63" s="306"/>
      <x:c r="F63" s="306"/>
      <x:c r="G63" s="306"/>
      <x:c r="H63" s="306"/>
      <x:c r="I63" s="306"/>
      <x:c r="J63" s="306"/>
      <x:c r="K63" s="306"/>
      <x:c r="L63" s="306"/>
      <x:c r="M63" s="306"/>
      <x:c r="N63" s="306"/>
      <x:c r="O63" s="306"/>
      <x:c r="P63" s="306"/>
      <x:c r="Q63" s="306"/>
    </x:row>
    <x:row r="64">
      <x:c r="A64" s="306"/>
      <x:c r="B64" s="306"/>
      <x:c r="C64" s="306"/>
      <x:c r="D64" s="306"/>
      <x:c r="E64" s="306"/>
      <x:c r="F64" s="306"/>
      <x:c r="G64" s="306"/>
      <x:c r="H64" s="306"/>
      <x:c r="I64" s="306"/>
      <x:c r="J64" s="306"/>
      <x:c r="K64" s="306"/>
      <x:c r="L64" s="306"/>
      <x:c r="M64" s="306"/>
      <x:c r="N64" s="306"/>
      <x:c r="O64" s="306"/>
      <x:c r="P64" s="306"/>
      <x:c r="Q64" s="306"/>
    </x:row>
    <x:row r="65">
      <x:c r="A65" s="306"/>
      <x:c r="B65" s="306"/>
      <x:c r="C65" s="306"/>
      <x:c r="D65" s="306"/>
      <x:c r="E65" s="306"/>
      <x:c r="F65" s="306"/>
      <x:c r="G65" s="306"/>
      <x:c r="H65" s="306"/>
      <x:c r="I65" s="306"/>
      <x:c r="J65" s="306"/>
      <x:c r="K65" s="306"/>
      <x:c r="L65" s="306"/>
      <x:c r="M65" s="306"/>
      <x:c r="N65" s="306"/>
      <x:c r="O65" s="306"/>
      <x:c r="P65" s="306"/>
      <x:c r="Q65" s="306"/>
    </x:row>
    <x:row r="66">
      <x:c r="A66" s="306"/>
      <x:c r="B66" s="306"/>
      <x:c r="C66" s="306"/>
      <x:c r="D66" s="306"/>
      <x:c r="E66" s="306"/>
      <x:c r="F66" s="306"/>
      <x:c r="G66" s="306"/>
      <x:c r="H66" s="306"/>
      <x:c r="I66" s="306"/>
      <x:c r="J66" s="306"/>
      <x:c r="K66" s="306"/>
      <x:c r="L66" s="306"/>
      <x:c r="M66" s="306"/>
      <x:c r="N66" s="306"/>
      <x:c r="O66" s="306"/>
      <x:c r="P66" s="306"/>
      <x:c r="Q66" s="306"/>
    </x:row>
    <x:row r="67">
      <x:c r="A67" s="306"/>
      <x:c r="B67" s="306"/>
      <x:c r="C67" s="306"/>
      <x:c r="D67" s="306"/>
      <x:c r="E67" s="306"/>
      <x:c r="F67" s="306"/>
      <x:c r="G67" s="306"/>
      <x:c r="H67" s="306"/>
      <x:c r="I67" s="306"/>
      <x:c r="J67" s="306"/>
      <x:c r="K67" s="306"/>
      <x:c r="L67" s="306"/>
      <x:c r="M67" s="306"/>
      <x:c r="N67" s="306"/>
      <x:c r="O67" s="306"/>
      <x:c r="P67" s="306"/>
      <x:c r="Q67" s="306"/>
    </x:row>
    <x:row r="68">
      <x:c r="A68" s="306"/>
      <x:c r="B68" s="306"/>
      <x:c r="C68" s="306"/>
      <x:c r="D68" s="306"/>
      <x:c r="E68" s="306"/>
      <x:c r="F68" s="306"/>
      <x:c r="G68" s="306"/>
      <x:c r="H68" s="306"/>
      <x:c r="I68" s="306"/>
      <x:c r="J68" s="306"/>
      <x:c r="K68" s="306"/>
      <x:c r="L68" s="306"/>
      <x:c r="M68" s="306"/>
      <x:c r="N68" s="306"/>
      <x:c r="O68" s="306"/>
      <x:c r="P68" s="306"/>
      <x:c r="Q68" s="306"/>
    </x:row>
    <x:row r="69">
      <x:c r="A69" s="306"/>
      <x:c r="B69" s="306"/>
      <x:c r="C69" s="306"/>
      <x:c r="D69" s="306"/>
      <x:c r="E69" s="306"/>
      <x:c r="F69" s="306"/>
      <x:c r="G69" s="306"/>
      <x:c r="H69" s="306"/>
      <x:c r="I69" s="306"/>
      <x:c r="J69" s="306"/>
      <x:c r="K69" s="306"/>
      <x:c r="L69" s="306"/>
      <x:c r="M69" s="306"/>
      <x:c r="N69" s="306"/>
      <x:c r="O69" s="306"/>
      <x:c r="P69" s="306"/>
      <x:c r="Q69" s="306"/>
    </x:row>
    <x:row r="70">
      <x:c r="A70" s="306"/>
      <x:c r="B70" s="306"/>
      <x:c r="C70" s="306"/>
      <x:c r="D70" s="306"/>
      <x:c r="E70" s="306"/>
      <x:c r="F70" s="306"/>
      <x:c r="G70" s="306"/>
      <x:c r="H70" s="306"/>
      <x:c r="I70" s="306"/>
      <x:c r="J70" s="306"/>
      <x:c r="K70" s="306"/>
      <x:c r="L70" s="306"/>
      <x:c r="M70" s="306"/>
      <x:c r="N70" s="306"/>
      <x:c r="O70" s="306"/>
      <x:c r="P70" s="306"/>
      <x:c r="Q70" s="306"/>
    </x:row>
    <x:row r="71">
      <x:c r="A71" s="306"/>
      <x:c r="B71" s="306"/>
      <x:c r="C71" s="306"/>
      <x:c r="D71" s="306"/>
      <x:c r="E71" s="306"/>
      <x:c r="F71" s="306"/>
      <x:c r="G71" s="306"/>
      <x:c r="H71" s="306"/>
      <x:c r="I71" s="306"/>
      <x:c r="J71" s="306"/>
      <x:c r="K71" s="306"/>
      <x:c r="L71" s="306"/>
      <x:c r="M71" s="306"/>
      <x:c r="N71" s="306"/>
      <x:c r="O71" s="306"/>
      <x:c r="P71" s="306"/>
      <x:c r="Q71" s="306"/>
    </x:row>
    <x:row r="72">
      <x:c r="A72" s="306"/>
      <x:c r="B72" s="306"/>
      <x:c r="C72" s="306"/>
      <x:c r="D72" s="306"/>
      <x:c r="E72" s="306"/>
      <x:c r="F72" s="306"/>
      <x:c r="G72" s="306"/>
      <x:c r="H72" s="306"/>
      <x:c r="I72" s="306"/>
      <x:c r="J72" s="306"/>
      <x:c r="K72" s="306"/>
      <x:c r="L72" s="306"/>
      <x:c r="M72" s="306"/>
      <x:c r="N72" s="306"/>
      <x:c r="O72" s="306"/>
      <x:c r="P72" s="306"/>
      <x:c r="Q72" s="306"/>
    </x:row>
    <x:row r="73">
      <x:c r="A73" s="306"/>
      <x:c r="B73" s="306"/>
      <x:c r="C73" s="306"/>
      <x:c r="D73" s="306"/>
      <x:c r="E73" s="306"/>
      <x:c r="F73" s="306"/>
      <x:c r="G73" s="306"/>
      <x:c r="H73" s="306"/>
      <x:c r="I73" s="306"/>
      <x:c r="J73" s="306"/>
      <x:c r="K73" s="306"/>
      <x:c r="L73" s="306"/>
      <x:c r="M73" s="306"/>
      <x:c r="N73" s="306"/>
      <x:c r="O73" s="306"/>
      <x:c r="P73" s="306"/>
      <x:c r="Q73" s="306"/>
    </x:row>
    <x:row r="74">
      <x:c r="A74" s="306"/>
      <x:c r="B74" s="306"/>
      <x:c r="C74" s="306"/>
      <x:c r="D74" s="306"/>
      <x:c r="E74" s="306"/>
      <x:c r="F74" s="306"/>
      <x:c r="G74" s="306"/>
      <x:c r="H74" s="306"/>
      <x:c r="I74" s="306"/>
      <x:c r="J74" s="306"/>
      <x:c r="K74" s="306"/>
      <x:c r="L74" s="306"/>
      <x:c r="M74" s="306"/>
      <x:c r="N74" s="306"/>
      <x:c r="O74" s="306"/>
      <x:c r="P74" s="306"/>
      <x:c r="Q74" s="306"/>
    </x:row>
    <x:row r="75">
      <x:c r="A75" s="306"/>
      <x:c r="B75" s="306"/>
      <x:c r="C75" s="306"/>
      <x:c r="D75" s="306"/>
      <x:c r="E75" s="306"/>
      <x:c r="F75" s="306"/>
      <x:c r="G75" s="306"/>
      <x:c r="H75" s="306"/>
      <x:c r="I75" s="306"/>
      <x:c r="J75" s="306"/>
      <x:c r="K75" s="306"/>
      <x:c r="L75" s="306"/>
      <x:c r="M75" s="306"/>
      <x:c r="N75" s="306"/>
      <x:c r="O75" s="306"/>
      <x:c r="P75" s="306"/>
      <x:c r="Q75" s="306"/>
    </x:row>
    <x:row r="76">
      <x:c r="A76" s="306"/>
      <x:c r="B76" s="306"/>
      <x:c r="C76" s="306"/>
      <x:c r="D76" s="306"/>
      <x:c r="E76" s="306"/>
      <x:c r="F76" s="306"/>
      <x:c r="G76" s="306"/>
      <x:c r="H76" s="306"/>
      <x:c r="I76" s="306"/>
      <x:c r="J76" s="306"/>
      <x:c r="K76" s="306"/>
      <x:c r="L76" s="306"/>
      <x:c r="M76" s="306"/>
      <x:c r="N76" s="306"/>
      <x:c r="O76" s="306"/>
      <x:c r="P76" s="306"/>
      <x:c r="Q76" s="306"/>
    </x:row>
    <x:row r="77">
      <x:c r="A77" s="306"/>
      <x:c r="B77" s="306"/>
      <x:c r="C77" s="306"/>
      <x:c r="D77" s="306"/>
      <x:c r="E77" s="306"/>
      <x:c r="F77" s="306"/>
      <x:c r="G77" s="306"/>
      <x:c r="H77" s="306"/>
      <x:c r="I77" s="306"/>
      <x:c r="J77" s="306"/>
      <x:c r="K77" s="306"/>
      <x:c r="L77" s="306"/>
      <x:c r="M77" s="306"/>
      <x:c r="N77" s="306"/>
      <x:c r="O77" s="306"/>
      <x:c r="P77" s="306"/>
      <x:c r="Q77" s="306"/>
    </x:row>
    <x:row r="78">
      <x:c r="A78" s="306"/>
      <x:c r="B78" s="306"/>
      <x:c r="C78" s="306"/>
      <x:c r="D78" s="306"/>
      <x:c r="E78" s="306"/>
      <x:c r="F78" s="306"/>
      <x:c r="G78" s="306"/>
      <x:c r="H78" s="306"/>
      <x:c r="I78" s="306"/>
      <x:c r="J78" s="306"/>
      <x:c r="K78" s="306"/>
      <x:c r="L78" s="306"/>
      <x:c r="M78" s="306"/>
      <x:c r="N78" s="306"/>
      <x:c r="O78" s="306"/>
      <x:c r="P78" s="306"/>
      <x:c r="Q78" s="306"/>
    </x:row>
    <x:row r="79">
      <x:c r="A79" s="306"/>
      <x:c r="B79" s="306"/>
      <x:c r="C79" s="306"/>
      <x:c r="D79" s="306"/>
      <x:c r="E79" s="306"/>
      <x:c r="F79" s="306"/>
      <x:c r="G79" s="306"/>
      <x:c r="H79" s="306"/>
      <x:c r="I79" s="306"/>
      <x:c r="J79" s="306"/>
      <x:c r="K79" s="306"/>
      <x:c r="L79" s="306"/>
      <x:c r="M79" s="306"/>
      <x:c r="N79" s="306"/>
      <x:c r="O79" s="306"/>
      <x:c r="P79" s="306"/>
      <x:c r="Q79" s="306"/>
    </x:row>
    <x:row r="80">
      <x:c r="A80" s="306"/>
      <x:c r="B80" s="306"/>
      <x:c r="C80" s="306"/>
      <x:c r="D80" s="306"/>
      <x:c r="E80" s="306"/>
      <x:c r="F80" s="306"/>
      <x:c r="G80" s="306"/>
      <x:c r="H80" s="306"/>
      <x:c r="I80" s="306"/>
      <x:c r="J80" s="306"/>
      <x:c r="K80" s="306"/>
      <x:c r="L80" s="306"/>
      <x:c r="M80" s="306"/>
      <x:c r="N80" s="306"/>
      <x:c r="O80" s="306"/>
      <x:c r="P80" s="306"/>
      <x:c r="Q80" s="306"/>
    </x:row>
    <x:row r="81">
      <x:c r="A81" s="306"/>
      <x:c r="B81" s="306"/>
      <x:c r="C81" s="306"/>
      <x:c r="D81" s="306"/>
      <x:c r="E81" s="306"/>
      <x:c r="F81" s="306"/>
      <x:c r="G81" s="306"/>
      <x:c r="H81" s="306"/>
      <x:c r="I81" s="306"/>
      <x:c r="J81" s="306"/>
      <x:c r="K81" s="306"/>
      <x:c r="L81" s="306"/>
      <x:c r="M81" s="306"/>
      <x:c r="N81" s="306"/>
      <x:c r="O81" s="306"/>
      <x:c r="P81" s="306"/>
      <x:c r="Q81" s="306"/>
    </x:row>
    <x:row r="82">
      <x:c r="A82" s="306"/>
      <x:c r="B82" s="306"/>
      <x:c r="C82" s="306"/>
      <x:c r="D82" s="306"/>
      <x:c r="E82" s="306"/>
      <x:c r="F82" s="306"/>
      <x:c r="G82" s="306"/>
      <x:c r="H82" s="306"/>
      <x:c r="I82" s="306"/>
      <x:c r="J82" s="306"/>
      <x:c r="K82" s="306"/>
      <x:c r="L82" s="306"/>
      <x:c r="M82" s="306"/>
      <x:c r="N82" s="306"/>
      <x:c r="O82" s="306"/>
      <x:c r="P82" s="306"/>
      <x:c r="Q82" s="306"/>
    </x:row>
    <x:row r="83">
      <x:c r="A83" s="306"/>
      <x:c r="B83" s="306"/>
      <x:c r="C83" s="306"/>
      <x:c r="D83" s="306"/>
      <x:c r="E83" s="306"/>
      <x:c r="F83" s="306"/>
      <x:c r="G83" s="306"/>
      <x:c r="H83" s="306"/>
      <x:c r="I83" s="306"/>
      <x:c r="J83" s="306"/>
      <x:c r="K83" s="306"/>
      <x:c r="L83" s="306"/>
      <x:c r="M83" s="306"/>
      <x:c r="N83" s="306"/>
      <x:c r="O83" s="306"/>
      <x:c r="P83" s="306"/>
      <x:c r="Q83" s="306"/>
    </x:row>
    <x:row r="84">
      <x:c r="A84" s="306"/>
      <x:c r="B84" s="306"/>
      <x:c r="C84" s="306"/>
      <x:c r="D84" s="306"/>
      <x:c r="E84" s="306"/>
      <x:c r="F84" s="306"/>
      <x:c r="G84" s="306"/>
      <x:c r="H84" s="306"/>
      <x:c r="I84" s="306"/>
      <x:c r="J84" s="306"/>
      <x:c r="K84" s="306"/>
      <x:c r="L84" s="306"/>
      <x:c r="M84" s="306"/>
      <x:c r="N84" s="306"/>
      <x:c r="O84" s="306"/>
      <x:c r="P84" s="306"/>
      <x:c r="Q84" s="306"/>
    </x:row>
    <x:row r="85">
      <x:c r="A85" s="306"/>
      <x:c r="B85" s="306"/>
      <x:c r="C85" s="306"/>
      <x:c r="D85" s="306"/>
      <x:c r="E85" s="306"/>
      <x:c r="F85" s="306"/>
      <x:c r="G85" s="306"/>
      <x:c r="H85" s="306"/>
      <x:c r="I85" s="306"/>
      <x:c r="J85" s="306"/>
      <x:c r="K85" s="306"/>
      <x:c r="L85" s="306"/>
      <x:c r="M85" s="306"/>
      <x:c r="N85" s="306"/>
      <x:c r="O85" s="306"/>
      <x:c r="P85" s="306"/>
      <x:c r="Q85" s="306"/>
    </x:row>
    <x:row r="86">
      <x:c r="A86" s="306"/>
      <x:c r="B86" s="306"/>
      <x:c r="C86" s="306"/>
      <x:c r="D86" s="306"/>
      <x:c r="E86" s="306"/>
      <x:c r="F86" s="306"/>
      <x:c r="G86" s="306"/>
      <x:c r="H86" s="306"/>
      <x:c r="I86" s="306"/>
      <x:c r="J86" s="306"/>
      <x:c r="K86" s="306"/>
      <x:c r="L86" s="306"/>
      <x:c r="M86" s="306"/>
      <x:c r="N86" s="306"/>
      <x:c r="O86" s="306"/>
      <x:c r="P86" s="306"/>
      <x:c r="Q86" s="306"/>
    </x:row>
    <x:row r="87">
      <x:c r="A87" s="306"/>
      <x:c r="B87" s="306"/>
      <x:c r="C87" s="306"/>
      <x:c r="D87" s="306"/>
      <x:c r="E87" s="306"/>
      <x:c r="F87" s="306"/>
      <x:c r="G87" s="306"/>
      <x:c r="H87" s="306"/>
      <x:c r="I87" s="306"/>
      <x:c r="J87" s="306"/>
      <x:c r="K87" s="306"/>
      <x:c r="L87" s="306"/>
      <x:c r="M87" s="306"/>
      <x:c r="N87" s="306"/>
      <x:c r="O87" s="306"/>
      <x:c r="P87" s="306"/>
      <x:c r="Q87" s="306"/>
    </x:row>
    <x:row r="88">
      <x:c r="A88" s="306"/>
      <x:c r="B88" s="306"/>
      <x:c r="C88" s="306"/>
      <x:c r="D88" s="306"/>
      <x:c r="E88" s="306"/>
      <x:c r="F88" s="306"/>
      <x:c r="G88" s="306"/>
      <x:c r="H88" s="306"/>
      <x:c r="I88" s="306"/>
      <x:c r="J88" s="306"/>
      <x:c r="K88" s="306"/>
      <x:c r="L88" s="306"/>
      <x:c r="M88" s="306"/>
      <x:c r="N88" s="306"/>
      <x:c r="O88" s="306"/>
      <x:c r="P88" s="306"/>
      <x:c r="Q88" s="306"/>
    </x:row>
    <x:row r="89">
      <x:c r="A89" s="306"/>
      <x:c r="B89" s="306"/>
      <x:c r="C89" s="306"/>
      <x:c r="D89" s="306"/>
      <x:c r="E89" s="306"/>
      <x:c r="F89" s="306"/>
      <x:c r="G89" s="306"/>
      <x:c r="H89" s="306"/>
      <x:c r="I89" s="306"/>
      <x:c r="J89" s="306"/>
      <x:c r="K89" s="306"/>
      <x:c r="L89" s="306"/>
      <x:c r="M89" s="306"/>
      <x:c r="N89" s="306"/>
      <x:c r="O89" s="306"/>
      <x:c r="P89" s="306"/>
      <x:c r="Q89" s="306"/>
    </x:row>
    <x:row r="90">
      <x:c r="A90" s="306"/>
      <x:c r="B90" s="306"/>
      <x:c r="C90" s="306"/>
      <x:c r="D90" s="306"/>
      <x:c r="E90" s="306"/>
      <x:c r="F90" s="306"/>
      <x:c r="G90" s="306"/>
      <x:c r="H90" s="306"/>
      <x:c r="I90" s="306"/>
      <x:c r="J90" s="306"/>
      <x:c r="K90" s="306"/>
      <x:c r="L90" s="306"/>
      <x:c r="M90" s="306"/>
      <x:c r="N90" s="306"/>
      <x:c r="O90" s="306"/>
      <x:c r="P90" s="306"/>
      <x:c r="Q90" s="306"/>
    </x:row>
    <x:row r="91">
      <x:c r="A91" s="306"/>
      <x:c r="B91" s="306"/>
      <x:c r="C91" s="306"/>
      <x:c r="D91" s="306"/>
      <x:c r="E91" s="306"/>
      <x:c r="F91" s="306"/>
      <x:c r="G91" s="306"/>
      <x:c r="H91" s="306"/>
      <x:c r="I91" s="306"/>
      <x:c r="J91" s="306"/>
      <x:c r="K91" s="306"/>
      <x:c r="L91" s="306"/>
      <x:c r="M91" s="306"/>
      <x:c r="N91" s="306"/>
      <x:c r="O91" s="306"/>
      <x:c r="P91" s="306"/>
      <x:c r="Q91" s="306"/>
    </x:row>
    <x:row r="92">
      <x:c r="A92" s="306"/>
      <x:c r="B92" s="306"/>
      <x:c r="C92" s="306"/>
      <x:c r="D92" s="306"/>
      <x:c r="E92" s="306"/>
      <x:c r="F92" s="306"/>
      <x:c r="G92" s="306"/>
      <x:c r="H92" s="306"/>
      <x:c r="I92" s="306"/>
      <x:c r="J92" s="306"/>
      <x:c r="K92" s="306"/>
      <x:c r="L92" s="306"/>
      <x:c r="M92" s="306"/>
      <x:c r="N92" s="306"/>
      <x:c r="O92" s="306"/>
      <x:c r="P92" s="306"/>
      <x:c r="Q92" s="306"/>
    </x:row>
    <x:row r="93">
      <x:c r="A93" s="306"/>
      <x:c r="B93" s="306"/>
      <x:c r="C93" s="306"/>
      <x:c r="D93" s="306"/>
      <x:c r="E93" s="306"/>
      <x:c r="F93" s="306"/>
      <x:c r="G93" s="306"/>
      <x:c r="H93" s="306"/>
      <x:c r="I93" s="306"/>
      <x:c r="J93" s="306"/>
      <x:c r="K93" s="306"/>
      <x:c r="L93" s="306"/>
      <x:c r="M93" s="306"/>
      <x:c r="N93" s="306"/>
      <x:c r="O93" s="306"/>
      <x:c r="P93" s="306"/>
      <x:c r="Q93" s="306"/>
    </x:row>
    <x:row r="94">
      <x:c r="A94" s="306"/>
      <x:c r="B94" s="306"/>
      <x:c r="C94" s="306"/>
      <x:c r="D94" s="306"/>
      <x:c r="E94" s="306"/>
      <x:c r="F94" s="306"/>
      <x:c r="G94" s="306"/>
      <x:c r="H94" s="306"/>
      <x:c r="I94" s="306"/>
      <x:c r="J94" s="306"/>
      <x:c r="K94" s="306"/>
      <x:c r="L94" s="306"/>
      <x:c r="M94" s="306"/>
      <x:c r="N94" s="306"/>
      <x:c r="O94" s="306"/>
      <x:c r="P94" s="306"/>
      <x:c r="Q94" s="306"/>
    </x:row>
    <x:row r="95">
      <x:c r="A95" s="306"/>
      <x:c r="B95" s="306"/>
      <x:c r="C95" s="306"/>
      <x:c r="D95" s="306"/>
      <x:c r="E95" s="306"/>
      <x:c r="F95" s="306"/>
      <x:c r="G95" s="306"/>
      <x:c r="H95" s="306"/>
      <x:c r="I95" s="306"/>
      <x:c r="J95" s="306"/>
      <x:c r="K95" s="306"/>
      <x:c r="L95" s="306"/>
      <x:c r="M95" s="306"/>
      <x:c r="N95" s="306"/>
      <x:c r="O95" s="306"/>
      <x:c r="P95" s="306"/>
      <x:c r="Q95" s="306"/>
    </x:row>
    <x:row r="96">
      <x:c r="A96" s="306"/>
      <x:c r="B96" s="306"/>
      <x:c r="C96" s="306"/>
      <x:c r="D96" s="306"/>
      <x:c r="E96" s="306"/>
      <x:c r="F96" s="306"/>
      <x:c r="G96" s="306"/>
      <x:c r="H96" s="306"/>
      <x:c r="I96" s="306"/>
      <x:c r="J96" s="306"/>
      <x:c r="K96" s="306"/>
      <x:c r="L96" s="306"/>
      <x:c r="M96" s="306"/>
      <x:c r="N96" s="306"/>
      <x:c r="O96" s="306"/>
      <x:c r="P96" s="306"/>
      <x:c r="Q96" s="306"/>
    </x:row>
    <x:row r="97">
      <x:c r="A97" s="306"/>
      <x:c r="B97" s="306"/>
      <x:c r="C97" s="306"/>
      <x:c r="D97" s="306"/>
      <x:c r="E97" s="306"/>
      <x:c r="F97" s="306"/>
      <x:c r="G97" s="306"/>
      <x:c r="H97" s="306"/>
      <x:c r="I97" s="306"/>
      <x:c r="J97" s="306"/>
      <x:c r="K97" s="306"/>
      <x:c r="L97" s="306"/>
      <x:c r="M97" s="306"/>
      <x:c r="N97" s="306"/>
      <x:c r="O97" s="306"/>
      <x:c r="P97" s="306"/>
      <x:c r="Q97" s="306"/>
    </x:row>
    <x:row r="98">
      <x:c r="A98" s="306"/>
      <x:c r="B98" s="306"/>
      <x:c r="C98" s="306"/>
      <x:c r="D98" s="306"/>
      <x:c r="E98" s="306"/>
      <x:c r="F98" s="306"/>
      <x:c r="G98" s="306"/>
      <x:c r="H98" s="306"/>
      <x:c r="I98" s="306"/>
      <x:c r="J98" s="306"/>
      <x:c r="K98" s="306"/>
      <x:c r="L98" s="306"/>
      <x:c r="M98" s="306"/>
      <x:c r="N98" s="306"/>
      <x:c r="O98" s="306"/>
      <x:c r="P98" s="306"/>
      <x:c r="Q98" s="306"/>
    </x:row>
    <x:row r="99">
      <x:c r="A99" s="306"/>
      <x:c r="B99" s="306"/>
      <x:c r="C99" s="306"/>
      <x:c r="D99" s="306"/>
      <x:c r="E99" s="306"/>
      <x:c r="F99" s="306"/>
      <x:c r="G99" s="306"/>
      <x:c r="H99" s="306"/>
      <x:c r="I99" s="306"/>
      <x:c r="J99" s="306"/>
      <x:c r="K99" s="306"/>
      <x:c r="L99" s="306"/>
      <x:c r="M99" s="306"/>
      <x:c r="N99" s="306"/>
      <x:c r="O99" s="306"/>
      <x:c r="P99" s="306"/>
      <x:c r="Q99" s="306"/>
    </x:row>
    <x:row r="100">
      <x:c r="A100" s="306"/>
      <x:c r="B100" s="306"/>
      <x:c r="C100" s="306"/>
      <x:c r="D100" s="306"/>
      <x:c r="E100" s="306"/>
      <x:c r="F100" s="306"/>
      <x:c r="G100" s="306"/>
      <x:c r="H100" s="306"/>
      <x:c r="I100" s="306"/>
      <x:c r="J100" s="306"/>
      <x:c r="K100" s="306"/>
      <x:c r="L100" s="306"/>
      <x:c r="M100" s="306"/>
      <x:c r="N100" s="306"/>
      <x:c r="O100" s="306"/>
      <x:c r="P100" s="306"/>
      <x:c r="Q100" s="306"/>
    </x:row>
    <x:row r="101">
      <x:c r="A101" s="306"/>
      <x:c r="B101" s="306"/>
      <x:c r="C101" s="306"/>
      <x:c r="D101" s="306"/>
      <x:c r="E101" s="306"/>
      <x:c r="F101" s="306"/>
      <x:c r="G101" s="306"/>
      <x:c r="H101" s="306"/>
      <x:c r="I101" s="306"/>
      <x:c r="J101" s="306"/>
      <x:c r="K101" s="306"/>
      <x:c r="L101" s="306"/>
      <x:c r="M101" s="306"/>
      <x:c r="N101" s="306"/>
      <x:c r="O101" s="306"/>
      <x:c r="P101" s="306"/>
      <x:c r="Q101" s="306"/>
    </x:row>
    <x:row r="102">
      <x:c r="A102" s="306"/>
      <x:c r="B102" s="306"/>
      <x:c r="C102" s="306"/>
      <x:c r="D102" s="306"/>
      <x:c r="E102" s="306"/>
      <x:c r="F102" s="306"/>
      <x:c r="G102" s="306"/>
      <x:c r="H102" s="306"/>
      <x:c r="I102" s="306"/>
      <x:c r="J102" s="306"/>
      <x:c r="K102" s="306"/>
      <x:c r="L102" s="306"/>
      <x:c r="M102" s="306"/>
      <x:c r="N102" s="306"/>
      <x:c r="O102" s="306"/>
      <x:c r="P102" s="306"/>
      <x:c r="Q102" s="306"/>
    </x:row>
    <x:row r="103">
      <x:c r="A103" s="306"/>
      <x:c r="B103" s="306"/>
      <x:c r="C103" s="306"/>
      <x:c r="D103" s="306"/>
      <x:c r="E103" s="306"/>
      <x:c r="F103" s="306"/>
      <x:c r="G103" s="306"/>
      <x:c r="H103" s="306"/>
      <x:c r="I103" s="306"/>
      <x:c r="J103" s="306"/>
      <x:c r="K103" s="306"/>
      <x:c r="L103" s="306"/>
      <x:c r="M103" s="306"/>
      <x:c r="N103" s="306"/>
      <x:c r="O103" s="306"/>
      <x:c r="P103" s="306"/>
      <x:c r="Q103" s="306"/>
    </x:row>
    <x:row r="104">
      <x:c r="A104" s="306"/>
      <x:c r="B104" s="306"/>
      <x:c r="C104" s="306"/>
      <x:c r="D104" s="306"/>
      <x:c r="E104" s="306"/>
      <x:c r="F104" s="306"/>
      <x:c r="G104" s="306"/>
      <x:c r="H104" s="306"/>
      <x:c r="I104" s="306"/>
      <x:c r="J104" s="306"/>
      <x:c r="K104" s="306"/>
      <x:c r="L104" s="306"/>
      <x:c r="M104" s="306"/>
      <x:c r="N104" s="306"/>
      <x:c r="O104" s="306"/>
      <x:c r="P104" s="306"/>
      <x:c r="Q104" s="306"/>
    </x:row>
    <x:row r="105">
      <x:c r="A105" s="306"/>
      <x:c r="B105" s="306"/>
      <x:c r="C105" s="306"/>
      <x:c r="D105" s="306"/>
      <x:c r="E105" s="306"/>
      <x:c r="F105" s="306"/>
      <x:c r="G105" s="306"/>
      <x:c r="H105" s="306"/>
      <x:c r="I105" s="306"/>
      <x:c r="J105" s="306"/>
      <x:c r="K105" s="306"/>
      <x:c r="L105" s="306"/>
      <x:c r="M105" s="306"/>
      <x:c r="N105" s="306"/>
      <x:c r="O105" s="306"/>
      <x:c r="P105" s="306"/>
      <x:c r="Q105" s="306"/>
    </x:row>
    <x:row r="106">
      <x:c r="A106" s="306"/>
      <x:c r="B106" s="306"/>
      <x:c r="C106" s="306"/>
      <x:c r="D106" s="306"/>
      <x:c r="E106" s="306"/>
      <x:c r="F106" s="306"/>
      <x:c r="G106" s="306"/>
      <x:c r="H106" s="306"/>
      <x:c r="I106" s="306"/>
      <x:c r="J106" s="306"/>
      <x:c r="K106" s="306"/>
      <x:c r="L106" s="306"/>
      <x:c r="M106" s="306"/>
      <x:c r="N106" s="306"/>
      <x:c r="O106" s="306"/>
      <x:c r="P106" s="306"/>
      <x:c r="Q106" s="306"/>
    </x:row>
    <x:row r="107">
      <x:c r="A107" s="306"/>
      <x:c r="B107" s="306"/>
      <x:c r="C107" s="306"/>
      <x:c r="D107" s="306"/>
      <x:c r="E107" s="306"/>
      <x:c r="F107" s="306"/>
      <x:c r="G107" s="306"/>
      <x:c r="H107" s="306"/>
      <x:c r="I107" s="306"/>
      <x:c r="J107" s="306"/>
      <x:c r="K107" s="306"/>
      <x:c r="L107" s="306"/>
      <x:c r="M107" s="306"/>
      <x:c r="N107" s="306"/>
      <x:c r="O107" s="306"/>
      <x:c r="P107" s="306"/>
      <x:c r="Q107" s="306"/>
    </x:row>
    <x:row r="108">
      <x:c r="A108" s="306"/>
      <x:c r="B108" s="306"/>
      <x:c r="C108" s="306"/>
      <x:c r="D108" s="306"/>
      <x:c r="E108" s="306"/>
      <x:c r="F108" s="306"/>
      <x:c r="G108" s="306"/>
      <x:c r="H108" s="306"/>
      <x:c r="I108" s="306"/>
      <x:c r="J108" s="306"/>
      <x:c r="K108" s="306"/>
      <x:c r="L108" s="306"/>
      <x:c r="M108" s="306"/>
      <x:c r="N108" s="306"/>
      <x:c r="O108" s="306"/>
      <x:c r="P108" s="306"/>
      <x:c r="Q108" s="306"/>
    </x:row>
    <x:row r="109">
      <x:c r="A109" s="306"/>
      <x:c r="B109" s="306"/>
      <x:c r="C109" s="306"/>
      <x:c r="D109" s="306"/>
      <x:c r="E109" s="306"/>
      <x:c r="F109" s="306"/>
      <x:c r="G109" s="306"/>
      <x:c r="H109" s="306"/>
      <x:c r="I109" s="306"/>
      <x:c r="J109" s="306"/>
      <x:c r="K109" s="306"/>
      <x:c r="L109" s="306"/>
      <x:c r="M109" s="306"/>
      <x:c r="N109" s="306"/>
      <x:c r="O109" s="306"/>
      <x:c r="P109" s="306"/>
      <x:c r="Q109" s="306"/>
    </x:row>
    <x:row r="110">
      <x:c r="A110" s="306"/>
      <x:c r="B110" s="306"/>
      <x:c r="C110" s="306"/>
      <x:c r="D110" s="306"/>
      <x:c r="E110" s="306"/>
      <x:c r="F110" s="306"/>
      <x:c r="G110" s="306"/>
      <x:c r="H110" s="306"/>
      <x:c r="I110" s="306"/>
      <x:c r="J110" s="306"/>
      <x:c r="K110" s="306"/>
      <x:c r="L110" s="306"/>
      <x:c r="M110" s="306"/>
      <x:c r="N110" s="306"/>
      <x:c r="O110" s="306"/>
      <x:c r="P110" s="306"/>
      <x:c r="Q110" s="306"/>
    </x:row>
    <x:row r="111">
      <x:c r="A111" s="306"/>
      <x:c r="B111" s="306"/>
      <x:c r="C111" s="306"/>
      <x:c r="D111" s="306"/>
      <x:c r="E111" s="306"/>
      <x:c r="F111" s="306"/>
      <x:c r="G111" s="306"/>
      <x:c r="H111" s="306"/>
      <x:c r="I111" s="306"/>
      <x:c r="J111" s="306"/>
      <x:c r="K111" s="306"/>
      <x:c r="L111" s="306"/>
      <x:c r="M111" s="306"/>
      <x:c r="N111" s="306"/>
      <x:c r="O111" s="306"/>
      <x:c r="P111" s="306"/>
      <x:c r="Q111" s="306"/>
    </x:row>
    <x:row r="112">
      <x:c r="A112" s="306"/>
      <x:c r="B112" s="306"/>
      <x:c r="C112" s="306"/>
      <x:c r="D112" s="306"/>
      <x:c r="E112" s="306"/>
      <x:c r="F112" s="306"/>
      <x:c r="G112" s="306"/>
      <x:c r="H112" s="306"/>
      <x:c r="I112" s="306"/>
      <x:c r="J112" s="306"/>
      <x:c r="K112" s="306"/>
      <x:c r="L112" s="306"/>
      <x:c r="M112" s="306"/>
      <x:c r="N112" s="306"/>
      <x:c r="O112" s="306"/>
      <x:c r="P112" s="306"/>
      <x:c r="Q112" s="306"/>
    </x:row>
    <x:row r="113">
      <x:c r="A113" s="306"/>
      <x:c r="B113" s="306"/>
      <x:c r="C113" s="306"/>
      <x:c r="D113" s="306"/>
      <x:c r="E113" s="306"/>
      <x:c r="F113" s="306"/>
      <x:c r="G113" s="306"/>
      <x:c r="H113" s="306"/>
      <x:c r="I113" s="306"/>
      <x:c r="J113" s="306"/>
      <x:c r="K113" s="306"/>
      <x:c r="L113" s="306"/>
      <x:c r="M113" s="306"/>
      <x:c r="N113" s="306"/>
      <x:c r="O113" s="306"/>
      <x:c r="P113" s="306"/>
      <x:c r="Q113" s="306"/>
    </x:row>
    <x:row r="114">
      <x:c r="A114" s="306"/>
      <x:c r="B114" s="306"/>
      <x:c r="C114" s="306"/>
      <x:c r="D114" s="306"/>
      <x:c r="E114" s="306"/>
      <x:c r="F114" s="306"/>
      <x:c r="G114" s="306"/>
      <x:c r="H114" s="306"/>
      <x:c r="I114" s="306"/>
      <x:c r="J114" s="306"/>
      <x:c r="K114" s="306"/>
      <x:c r="L114" s="306"/>
      <x:c r="M114" s="306"/>
      <x:c r="N114" s="306"/>
      <x:c r="O114" s="306"/>
      <x:c r="P114" s="306"/>
      <x:c r="Q114" s="306"/>
    </x:row>
    <x:row r="115">
      <x:c r="A115" s="306"/>
      <x:c r="B115" s="306"/>
      <x:c r="C115" s="306"/>
      <x:c r="D115" s="306"/>
      <x:c r="E115" s="306"/>
      <x:c r="F115" s="306"/>
      <x:c r="G115" s="306"/>
      <x:c r="H115" s="306"/>
      <x:c r="I115" s="306"/>
      <x:c r="J115" s="306"/>
      <x:c r="K115" s="306"/>
      <x:c r="L115" s="306"/>
      <x:c r="M115" s="306"/>
      <x:c r="N115" s="306"/>
      <x:c r="O115" s="306"/>
      <x:c r="P115" s="306"/>
      <x:c r="Q115" s="306"/>
    </x:row>
    <x:row r="116">
      <x:c r="A116" s="306"/>
      <x:c r="B116" s="306"/>
      <x:c r="C116" s="306"/>
      <x:c r="D116" s="306"/>
      <x:c r="E116" s="306"/>
      <x:c r="F116" s="306"/>
      <x:c r="G116" s="306"/>
      <x:c r="H116" s="306"/>
      <x:c r="I116" s="306"/>
      <x:c r="J116" s="306"/>
      <x:c r="K116" s="306"/>
      <x:c r="L116" s="306"/>
      <x:c r="M116" s="306"/>
      <x:c r="N116" s="306"/>
      <x:c r="O116" s="306"/>
      <x:c r="P116" s="306"/>
      <x:c r="Q116" s="306"/>
    </x:row>
    <x:row r="117">
      <x:c r="A117" s="306"/>
      <x:c r="B117" s="306"/>
      <x:c r="C117" s="306"/>
      <x:c r="D117" s="306"/>
      <x:c r="E117" s="306"/>
      <x:c r="F117" s="306"/>
      <x:c r="G117" s="306"/>
      <x:c r="H117" s="306"/>
      <x:c r="I117" s="306"/>
      <x:c r="J117" s="306"/>
      <x:c r="K117" s="306"/>
      <x:c r="L117" s="306"/>
      <x:c r="M117" s="306"/>
      <x:c r="N117" s="306"/>
      <x:c r="O117" s="306"/>
      <x:c r="P117" s="306"/>
      <x:c r="Q117" s="306"/>
    </x:row>
    <x:row r="118">
      <x:c r="A118" s="306"/>
      <x:c r="B118" s="306"/>
      <x:c r="C118" s="306"/>
      <x:c r="D118" s="306"/>
      <x:c r="E118" s="306"/>
      <x:c r="F118" s="306"/>
      <x:c r="G118" s="306"/>
      <x:c r="H118" s="306"/>
      <x:c r="I118" s="306"/>
      <x:c r="J118" s="306"/>
      <x:c r="K118" s="306"/>
      <x:c r="L118" s="306"/>
      <x:c r="M118" s="306"/>
      <x:c r="N118" s="306"/>
      <x:c r="O118" s="306"/>
      <x:c r="P118" s="306"/>
      <x:c r="Q118" s="306"/>
    </x:row>
    <x:row r="119">
      <x:c r="A119" s="306"/>
      <x:c r="B119" s="306"/>
      <x:c r="C119" s="306"/>
      <x:c r="D119" s="306"/>
      <x:c r="E119" s="306"/>
      <x:c r="F119" s="306"/>
      <x:c r="G119" s="306"/>
      <x:c r="H119" s="306"/>
      <x:c r="I119" s="306"/>
      <x:c r="J119" s="306"/>
      <x:c r="K119" s="306"/>
      <x:c r="L119" s="306"/>
      <x:c r="M119" s="306"/>
      <x:c r="N119" s="306"/>
      <x:c r="O119" s="306"/>
      <x:c r="P119" s="306"/>
      <x:c r="Q119" s="306"/>
    </x:row>
    <x:row r="120">
      <x:c r="A120" s="306"/>
      <x:c r="B120" s="306"/>
      <x:c r="C120" s="306"/>
      <x:c r="D120" s="306"/>
      <x:c r="E120" s="306"/>
      <x:c r="F120" s="306"/>
      <x:c r="G120" s="306"/>
      <x:c r="H120" s="306"/>
      <x:c r="I120" s="306"/>
      <x:c r="J120" s="306"/>
      <x:c r="K120" s="306"/>
      <x:c r="L120" s="306"/>
      <x:c r="M120" s="306"/>
      <x:c r="N120" s="306"/>
      <x:c r="O120" s="306"/>
      <x:c r="P120" s="306"/>
      <x:c r="Q120" s="306"/>
    </x:row>
    <x:row r="121">
      <x:c r="A121" s="306"/>
      <x:c r="B121" s="306"/>
      <x:c r="C121" s="306"/>
      <x:c r="D121" s="306"/>
      <x:c r="E121" s="306"/>
      <x:c r="F121" s="306"/>
      <x:c r="G121" s="306"/>
      <x:c r="H121" s="306"/>
      <x:c r="I121" s="306"/>
      <x:c r="J121" s="306"/>
      <x:c r="K121" s="306"/>
      <x:c r="L121" s="306"/>
      <x:c r="M121" s="306"/>
      <x:c r="N121" s="306"/>
      <x:c r="O121" s="306"/>
      <x:c r="P121" s="306"/>
      <x:c r="Q121" s="306"/>
    </x:row>
    <x:row r="122">
      <x:c r="A122" s="306"/>
      <x:c r="B122" s="306"/>
      <x:c r="C122" s="306"/>
      <x:c r="D122" s="306"/>
      <x:c r="E122" s="306"/>
      <x:c r="F122" s="306"/>
      <x:c r="G122" s="306"/>
      <x:c r="H122" s="306"/>
      <x:c r="I122" s="306"/>
      <x:c r="J122" s="306"/>
      <x:c r="K122" s="306"/>
      <x:c r="L122" s="306"/>
      <x:c r="M122" s="306"/>
      <x:c r="N122" s="306"/>
      <x:c r="O122" s="306"/>
      <x:c r="P122" s="306"/>
      <x:c r="Q122" s="306"/>
    </x:row>
    <x:row r="123">
      <x:c r="A123" s="306"/>
      <x:c r="B123" s="306"/>
      <x:c r="C123" s="306"/>
      <x:c r="D123" s="306"/>
      <x:c r="E123" s="306"/>
      <x:c r="F123" s="306"/>
      <x:c r="G123" s="306"/>
      <x:c r="H123" s="306"/>
      <x:c r="I123" s="306"/>
      <x:c r="J123" s="306"/>
      <x:c r="K123" s="306"/>
      <x:c r="L123" s="306"/>
      <x:c r="M123" s="306"/>
      <x:c r="N123" s="306"/>
      <x:c r="O123" s="306"/>
      <x:c r="P123" s="306"/>
      <x:c r="Q123" s="306"/>
    </x:row>
    <x:row r="124">
      <x:c r="A124" s="306"/>
      <x:c r="B124" s="306"/>
      <x:c r="C124" s="306"/>
      <x:c r="D124" s="306"/>
      <x:c r="E124" s="306"/>
      <x:c r="F124" s="306"/>
      <x:c r="G124" s="306"/>
      <x:c r="H124" s="306"/>
      <x:c r="I124" s="306"/>
      <x:c r="J124" s="306"/>
      <x:c r="K124" s="306"/>
      <x:c r="L124" s="306"/>
      <x:c r="M124" s="306"/>
      <x:c r="N124" s="306"/>
      <x:c r="O124" s="306"/>
      <x:c r="P124" s="306"/>
      <x:c r="Q124" s="306"/>
    </x:row>
    <x:row r="125">
      <x:c r="A125" s="306"/>
      <x:c r="B125" s="306"/>
      <x:c r="C125" s="306"/>
      <x:c r="D125" s="306"/>
      <x:c r="E125" s="306"/>
      <x:c r="F125" s="306"/>
      <x:c r="G125" s="306"/>
      <x:c r="H125" s="306"/>
      <x:c r="I125" s="306"/>
      <x:c r="J125" s="306"/>
      <x:c r="K125" s="306"/>
      <x:c r="L125" s="306"/>
      <x:c r="M125" s="306"/>
      <x:c r="N125" s="306"/>
      <x:c r="O125" s="306"/>
      <x:c r="P125" s="306"/>
      <x:c r="Q125" s="306"/>
    </x:row>
    <x:row r="126">
      <x:c r="A126" s="306"/>
      <x:c r="B126" s="306"/>
      <x:c r="C126" s="306"/>
      <x:c r="D126" s="306"/>
      <x:c r="E126" s="306"/>
      <x:c r="F126" s="306"/>
      <x:c r="G126" s="306"/>
      <x:c r="H126" s="306"/>
      <x:c r="I126" s="306"/>
      <x:c r="J126" s="306"/>
      <x:c r="K126" s="306"/>
      <x:c r="L126" s="306"/>
      <x:c r="M126" s="306"/>
      <x:c r="N126" s="306"/>
      <x:c r="O126" s="306"/>
      <x:c r="P126" s="306"/>
      <x:c r="Q126" s="306"/>
    </x:row>
    <x:row r="127">
      <x:c r="A127" s="306"/>
      <x:c r="B127" s="306"/>
      <x:c r="C127" s="306"/>
      <x:c r="D127" s="306"/>
      <x:c r="E127" s="306"/>
      <x:c r="F127" s="306"/>
      <x:c r="G127" s="306"/>
      <x:c r="H127" s="306"/>
      <x:c r="I127" s="306"/>
      <x:c r="J127" s="306"/>
      <x:c r="K127" s="306"/>
      <x:c r="L127" s="306"/>
      <x:c r="M127" s="306"/>
      <x:c r="N127" s="306"/>
      <x:c r="O127" s="306"/>
      <x:c r="P127" s="306"/>
      <x:c r="Q127" s="306"/>
    </x:row>
    <x:row r="128">
      <x:c r="A128" s="306"/>
      <x:c r="B128" s="306"/>
      <x:c r="C128" s="306"/>
      <x:c r="D128" s="306"/>
      <x:c r="E128" s="306"/>
      <x:c r="F128" s="306"/>
      <x:c r="G128" s="306"/>
      <x:c r="H128" s="306"/>
      <x:c r="I128" s="306"/>
      <x:c r="J128" s="306"/>
      <x:c r="K128" s="306"/>
      <x:c r="L128" s="306"/>
      <x:c r="M128" s="306"/>
      <x:c r="N128" s="306"/>
      <x:c r="O128" s="306"/>
      <x:c r="P128" s="306"/>
      <x:c r="Q128" s="306"/>
    </x:row>
    <x:row r="129">
      <x:c r="A129" s="306"/>
      <x:c r="B129" s="306"/>
      <x:c r="C129" s="306"/>
      <x:c r="D129" s="306"/>
      <x:c r="E129" s="306"/>
      <x:c r="F129" s="306"/>
      <x:c r="G129" s="306"/>
      <x:c r="H129" s="306"/>
      <x:c r="I129" s="306"/>
      <x:c r="J129" s="306"/>
      <x:c r="K129" s="306"/>
      <x:c r="L129" s="306"/>
      <x:c r="M129" s="306"/>
      <x:c r="N129" s="306"/>
      <x:c r="O129" s="306"/>
      <x:c r="P129" s="306"/>
      <x:c r="Q129" s="306"/>
    </x:row>
    <x:row r="130">
      <x:c r="A130" s="306"/>
      <x:c r="B130" s="306"/>
      <x:c r="C130" s="306"/>
      <x:c r="D130" s="306"/>
      <x:c r="E130" s="306"/>
      <x:c r="F130" s="306"/>
      <x:c r="G130" s="306"/>
      <x:c r="H130" s="306"/>
      <x:c r="I130" s="306"/>
      <x:c r="J130" s="306"/>
      <x:c r="K130" s="306"/>
      <x:c r="L130" s="306"/>
      <x:c r="M130" s="306"/>
      <x:c r="N130" s="306"/>
      <x:c r="O130" s="306"/>
      <x:c r="P130" s="306"/>
      <x:c r="Q130" s="306"/>
    </x:row>
    <x:row r="131">
      <x:c r="A131" s="306"/>
      <x:c r="B131" s="306"/>
      <x:c r="C131" s="306"/>
      <x:c r="D131" s="306"/>
      <x:c r="E131" s="306"/>
      <x:c r="F131" s="306"/>
      <x:c r="G131" s="306"/>
      <x:c r="H131" s="306"/>
      <x:c r="I131" s="306"/>
      <x:c r="J131" s="306"/>
      <x:c r="K131" s="306"/>
      <x:c r="L131" s="306"/>
      <x:c r="M131" s="306"/>
      <x:c r="N131" s="306"/>
      <x:c r="O131" s="306"/>
      <x:c r="P131" s="306"/>
      <x:c r="Q131" s="306"/>
    </x:row>
    <x:row r="132">
      <x:c r="A132" s="306"/>
      <x:c r="B132" s="306"/>
      <x:c r="C132" s="306"/>
      <x:c r="D132" s="306"/>
      <x:c r="E132" s="306"/>
      <x:c r="F132" s="306"/>
      <x:c r="G132" s="306"/>
      <x:c r="H132" s="306"/>
      <x:c r="I132" s="306"/>
      <x:c r="J132" s="306"/>
      <x:c r="K132" s="306"/>
      <x:c r="L132" s="306"/>
      <x:c r="M132" s="306"/>
      <x:c r="N132" s="306"/>
      <x:c r="O132" s="306"/>
      <x:c r="P132" s="306"/>
      <x:c r="Q132" s="306"/>
    </x:row>
    <x:row r="133">
      <x:c r="A133" s="306"/>
      <x:c r="B133" s="306"/>
      <x:c r="C133" s="306"/>
      <x:c r="D133" s="306"/>
      <x:c r="E133" s="306"/>
      <x:c r="F133" s="306"/>
      <x:c r="G133" s="306"/>
      <x:c r="H133" s="306"/>
      <x:c r="I133" s="306"/>
      <x:c r="J133" s="306"/>
      <x:c r="K133" s="306"/>
      <x:c r="L133" s="306"/>
      <x:c r="M133" s="306"/>
      <x:c r="N133" s="306"/>
      <x:c r="O133" s="306"/>
      <x:c r="P133" s="306"/>
      <x:c r="Q133" s="306"/>
    </x:row>
    <x:row r="134">
      <x:c r="A134" s="306"/>
      <x:c r="B134" s="306"/>
      <x:c r="C134" s="306"/>
      <x:c r="D134" s="306"/>
      <x:c r="E134" s="306"/>
      <x:c r="F134" s="306"/>
      <x:c r="G134" s="306"/>
      <x:c r="H134" s="306"/>
      <x:c r="I134" s="306"/>
      <x:c r="J134" s="306"/>
      <x:c r="K134" s="306"/>
      <x:c r="L134" s="306"/>
      <x:c r="M134" s="306"/>
      <x:c r="N134" s="306"/>
      <x:c r="O134" s="306"/>
      <x:c r="P134" s="306"/>
      <x:c r="Q134" s="306"/>
    </x:row>
    <x:row r="135">
      <x:c r="A135" s="306"/>
      <x:c r="B135" s="306"/>
      <x:c r="C135" s="306"/>
      <x:c r="D135" s="306"/>
      <x:c r="E135" s="306"/>
      <x:c r="F135" s="306"/>
      <x:c r="G135" s="306"/>
      <x:c r="H135" s="306"/>
      <x:c r="I135" s="306"/>
      <x:c r="J135" s="306"/>
      <x:c r="K135" s="306"/>
      <x:c r="L135" s="306"/>
      <x:c r="M135" s="306"/>
      <x:c r="N135" s="306"/>
      <x:c r="O135" s="306"/>
      <x:c r="P135" s="306"/>
      <x:c r="Q135" s="306"/>
    </x:row>
    <x:row r="136">
      <x:c r="A136" s="306"/>
      <x:c r="B136" s="306"/>
      <x:c r="C136" s="306"/>
      <x:c r="D136" s="306"/>
      <x:c r="E136" s="306"/>
      <x:c r="F136" s="306"/>
      <x:c r="G136" s="306"/>
      <x:c r="H136" s="306"/>
      <x:c r="I136" s="306"/>
      <x:c r="J136" s="306"/>
      <x:c r="K136" s="306"/>
      <x:c r="L136" s="306"/>
      <x:c r="M136" s="306"/>
      <x:c r="N136" s="306"/>
      <x:c r="O136" s="306"/>
      <x:c r="P136" s="306"/>
      <x:c r="Q136" s="306"/>
    </x:row>
    <x:row r="137">
      <x:c r="A137" s="306"/>
      <x:c r="B137" s="306"/>
      <x:c r="C137" s="306"/>
      <x:c r="D137" s="306"/>
      <x:c r="E137" s="306"/>
      <x:c r="F137" s="306"/>
      <x:c r="G137" s="306"/>
      <x:c r="H137" s="306"/>
      <x:c r="I137" s="306"/>
      <x:c r="J137" s="306"/>
      <x:c r="K137" s="306"/>
      <x:c r="L137" s="306"/>
      <x:c r="M137" s="306"/>
      <x:c r="N137" s="306"/>
      <x:c r="O137" s="306"/>
      <x:c r="P137" s="306"/>
      <x:c r="Q137" s="306"/>
    </x:row>
    <x:row r="138">
      <x:c r="A138" s="306"/>
      <x:c r="B138" s="306"/>
      <x:c r="C138" s="306"/>
      <x:c r="D138" s="306"/>
      <x:c r="E138" s="306"/>
      <x:c r="F138" s="306"/>
      <x:c r="G138" s="306"/>
      <x:c r="H138" s="306"/>
      <x:c r="I138" s="306"/>
      <x:c r="J138" s="306"/>
      <x:c r="K138" s="306"/>
      <x:c r="L138" s="306"/>
      <x:c r="M138" s="306"/>
      <x:c r="N138" s="306"/>
      <x:c r="O138" s="306"/>
      <x:c r="P138" s="306"/>
      <x:c r="Q138" s="306"/>
    </x:row>
    <x:row r="139">
      <x:c r="A139" s="306"/>
      <x:c r="B139" s="306"/>
      <x:c r="C139" s="306"/>
      <x:c r="D139" s="306"/>
      <x:c r="E139" s="306"/>
      <x:c r="F139" s="306"/>
      <x:c r="G139" s="306"/>
      <x:c r="H139" s="306"/>
      <x:c r="I139" s="306"/>
      <x:c r="J139" s="306"/>
      <x:c r="K139" s="306"/>
      <x:c r="L139" s="306"/>
      <x:c r="M139" s="306"/>
      <x:c r="N139" s="306"/>
      <x:c r="O139" s="306"/>
      <x:c r="P139" s="306"/>
      <x:c r="Q139" s="306"/>
    </x:row>
    <x:row r="140">
      <x:c r="A140" s="306"/>
      <x:c r="B140" s="306"/>
      <x:c r="C140" s="306"/>
      <x:c r="D140" s="306"/>
      <x:c r="E140" s="306"/>
      <x:c r="F140" s="306"/>
      <x:c r="G140" s="306"/>
      <x:c r="H140" s="306"/>
      <x:c r="I140" s="306"/>
      <x:c r="J140" s="306"/>
      <x:c r="K140" s="306"/>
      <x:c r="L140" s="306"/>
      <x:c r="M140" s="306"/>
      <x:c r="N140" s="306"/>
      <x:c r="O140" s="306"/>
      <x:c r="P140" s="306"/>
      <x:c r="Q140" s="306"/>
    </x:row>
    <x:row r="141">
      <x:c r="A141" s="306"/>
      <x:c r="B141" s="306"/>
      <x:c r="C141" s="306"/>
      <x:c r="D141" s="306"/>
      <x:c r="E141" s="306"/>
      <x:c r="F141" s="306"/>
      <x:c r="G141" s="306"/>
      <x:c r="H141" s="306"/>
      <x:c r="I141" s="306"/>
      <x:c r="J141" s="306"/>
      <x:c r="K141" s="306"/>
      <x:c r="L141" s="306"/>
      <x:c r="M141" s="306"/>
      <x:c r="N141" s="306"/>
      <x:c r="O141" s="306"/>
      <x:c r="P141" s="306"/>
      <x:c r="Q141" s="306"/>
    </x:row>
    <x:row r="142">
      <x:c r="A142" s="306"/>
      <x:c r="B142" s="306"/>
      <x:c r="C142" s="306"/>
      <x:c r="D142" s="306"/>
      <x:c r="E142" s="306"/>
      <x:c r="F142" s="306"/>
      <x:c r="G142" s="306"/>
      <x:c r="H142" s="306"/>
      <x:c r="I142" s="306"/>
      <x:c r="J142" s="306"/>
      <x:c r="K142" s="306"/>
      <x:c r="L142" s="306"/>
      <x:c r="M142" s="306"/>
      <x:c r="N142" s="306"/>
      <x:c r="O142" s="306"/>
      <x:c r="P142" s="306"/>
      <x:c r="Q142" s="306"/>
    </x:row>
    <x:row r="143">
      <x:c r="A143" s="306"/>
      <x:c r="B143" s="306"/>
      <x:c r="C143" s="306"/>
      <x:c r="D143" s="306"/>
      <x:c r="E143" s="306"/>
      <x:c r="F143" s="306"/>
      <x:c r="G143" s="306"/>
      <x:c r="H143" s="306"/>
      <x:c r="I143" s="306"/>
      <x:c r="J143" s="306"/>
      <x:c r="K143" s="306"/>
      <x:c r="L143" s="306"/>
      <x:c r="M143" s="306"/>
      <x:c r="N143" s="306"/>
      <x:c r="O143" s="306"/>
      <x:c r="P143" s="306"/>
      <x:c r="Q143" s="306"/>
    </x:row>
    <x:row r="144">
      <x:c r="A144" s="306"/>
      <x:c r="B144" s="306"/>
      <x:c r="C144" s="306"/>
      <x:c r="D144" s="306"/>
      <x:c r="E144" s="306"/>
      <x:c r="F144" s="306"/>
      <x:c r="G144" s="306"/>
      <x:c r="H144" s="306"/>
      <x:c r="I144" s="306"/>
      <x:c r="J144" s="306"/>
      <x:c r="K144" s="306"/>
      <x:c r="L144" s="306"/>
      <x:c r="M144" s="306"/>
      <x:c r="N144" s="306"/>
      <x:c r="O144" s="306"/>
      <x:c r="P144" s="306"/>
      <x:c r="Q144" s="306"/>
    </x:row>
    <x:row r="145">
      <x:c r="A145" s="306"/>
      <x:c r="B145" s="306"/>
      <x:c r="C145" s="306"/>
      <x:c r="D145" s="306"/>
      <x:c r="E145" s="306"/>
      <x:c r="F145" s="306"/>
      <x:c r="G145" s="306"/>
      <x:c r="H145" s="306"/>
      <x:c r="I145" s="306"/>
      <x:c r="J145" s="306"/>
      <x:c r="K145" s="306"/>
      <x:c r="L145" s="306"/>
      <x:c r="M145" s="306"/>
      <x:c r="N145" s="306"/>
      <x:c r="O145" s="306"/>
      <x:c r="P145" s="306"/>
      <x:c r="Q145" s="306"/>
    </x:row>
    <x:row r="146">
      <x:c r="A146" s="306"/>
      <x:c r="B146" s="306"/>
      <x:c r="C146" s="306"/>
      <x:c r="D146" s="306"/>
      <x:c r="E146" s="306"/>
      <x:c r="F146" s="306"/>
      <x:c r="G146" s="306"/>
      <x:c r="H146" s="306"/>
      <x:c r="I146" s="306"/>
      <x:c r="J146" s="306"/>
      <x:c r="K146" s="306"/>
      <x:c r="L146" s="306"/>
      <x:c r="M146" s="306"/>
      <x:c r="N146" s="306"/>
      <x:c r="O146" s="306"/>
      <x:c r="P146" s="306"/>
      <x:c r="Q146" s="306"/>
    </x:row>
    <x:row r="147">
      <x:c r="A147" s="306"/>
      <x:c r="B147" s="306"/>
      <x:c r="C147" s="306"/>
      <x:c r="D147" s="306"/>
      <x:c r="E147" s="306"/>
      <x:c r="F147" s="306"/>
      <x:c r="G147" s="306"/>
      <x:c r="H147" s="306"/>
      <x:c r="I147" s="306"/>
      <x:c r="J147" s="306"/>
      <x:c r="K147" s="306"/>
      <x:c r="L147" s="306"/>
      <x:c r="M147" s="306"/>
      <x:c r="N147" s="306"/>
      <x:c r="O147" s="306"/>
      <x:c r="P147" s="306"/>
      <x:c r="Q147" s="306"/>
    </x:row>
    <x:row r="148">
      <x:c r="A148" s="306"/>
      <x:c r="B148" s="306"/>
      <x:c r="C148" s="306"/>
      <x:c r="D148" s="306"/>
      <x:c r="E148" s="306"/>
      <x:c r="F148" s="306"/>
      <x:c r="G148" s="306"/>
      <x:c r="H148" s="306"/>
      <x:c r="I148" s="306"/>
      <x:c r="J148" s="306"/>
      <x:c r="K148" s="306"/>
      <x:c r="L148" s="306"/>
      <x:c r="M148" s="306"/>
      <x:c r="N148" s="306"/>
      <x:c r="O148" s="306"/>
      <x:c r="P148" s="306"/>
      <x:c r="Q148" s="306"/>
    </x:row>
    <x:row r="149">
      <x:c r="A149" s="306"/>
      <x:c r="B149" s="306"/>
      <x:c r="C149" s="306"/>
      <x:c r="D149" s="306"/>
      <x:c r="E149" s="306"/>
      <x:c r="F149" s="306"/>
      <x:c r="G149" s="306"/>
      <x:c r="H149" s="306"/>
      <x:c r="I149" s="306"/>
      <x:c r="J149" s="306"/>
      <x:c r="K149" s="306"/>
      <x:c r="L149" s="306"/>
      <x:c r="M149" s="306"/>
      <x:c r="N149" s="306"/>
      <x:c r="O149" s="306"/>
      <x:c r="P149" s="306"/>
      <x:c r="Q149" s="306"/>
    </x:row>
    <x:row r="150">
      <x:c r="A150" s="306"/>
      <x:c r="B150" s="306"/>
      <x:c r="C150" s="306"/>
      <x:c r="D150" s="306"/>
      <x:c r="E150" s="306"/>
      <x:c r="F150" s="306"/>
      <x:c r="G150" s="306"/>
      <x:c r="H150" s="306"/>
      <x:c r="I150" s="306"/>
      <x:c r="J150" s="306"/>
      <x:c r="K150" s="306"/>
      <x:c r="L150" s="306"/>
      <x:c r="M150" s="306"/>
      <x:c r="N150" s="306"/>
      <x:c r="O150" s="306"/>
      <x:c r="P150" s="306"/>
      <x:c r="Q150" s="306"/>
    </x:row>
    <x:row r="151">
      <x:c r="A151" s="306"/>
      <x:c r="B151" s="306"/>
      <x:c r="C151" s="306"/>
      <x:c r="D151" s="306"/>
      <x:c r="E151" s="306"/>
      <x:c r="F151" s="306"/>
      <x:c r="G151" s="306"/>
      <x:c r="H151" s="306"/>
      <x:c r="I151" s="306"/>
      <x:c r="J151" s="306"/>
      <x:c r="K151" s="306"/>
      <x:c r="L151" s="306"/>
      <x:c r="M151" s="306"/>
      <x:c r="N151" s="306"/>
      <x:c r="O151" s="306"/>
      <x:c r="P151" s="306"/>
      <x:c r="Q151" s="306"/>
    </x:row>
    <x:row r="152">
      <x:c r="A152" s="306"/>
      <x:c r="B152" s="306"/>
      <x:c r="C152" s="306"/>
      <x:c r="D152" s="306"/>
      <x:c r="E152" s="306"/>
      <x:c r="F152" s="306"/>
      <x:c r="G152" s="306"/>
      <x:c r="H152" s="306"/>
      <x:c r="I152" s="306"/>
      <x:c r="J152" s="306"/>
      <x:c r="K152" s="306"/>
      <x:c r="L152" s="306"/>
      <x:c r="M152" s="306"/>
      <x:c r="N152" s="306"/>
      <x:c r="O152" s="306"/>
      <x:c r="P152" s="306"/>
      <x:c r="Q152" s="306"/>
    </x:row>
    <x:row r="153">
      <x:c r="A153" s="306"/>
      <x:c r="B153" s="306"/>
      <x:c r="C153" s="306"/>
      <x:c r="D153" s="306"/>
      <x:c r="E153" s="306"/>
      <x:c r="F153" s="306"/>
      <x:c r="G153" s="306"/>
      <x:c r="H153" s="306"/>
      <x:c r="I153" s="306"/>
      <x:c r="J153" s="306"/>
      <x:c r="K153" s="306"/>
      <x:c r="L153" s="306"/>
      <x:c r="M153" s="306"/>
      <x:c r="N153" s="306"/>
      <x:c r="O153" s="306"/>
      <x:c r="P153" s="306"/>
      <x:c r="Q153" s="306"/>
    </x:row>
    <x:row r="154">
      <x:c r="A154" s="306"/>
      <x:c r="B154" s="306"/>
      <x:c r="C154" s="306"/>
      <x:c r="D154" s="306"/>
      <x:c r="E154" s="306"/>
      <x:c r="F154" s="306"/>
      <x:c r="G154" s="306"/>
      <x:c r="H154" s="306"/>
      <x:c r="I154" s="306"/>
      <x:c r="J154" s="306"/>
      <x:c r="K154" s="306"/>
      <x:c r="L154" s="306"/>
      <x:c r="M154" s="306"/>
      <x:c r="N154" s="306"/>
      <x:c r="O154" s="306"/>
      <x:c r="P154" s="306"/>
      <x:c r="Q154" s="306"/>
    </x:row>
    <x:row r="155">
      <x:c r="A155" s="306"/>
      <x:c r="B155" s="306"/>
      <x:c r="C155" s="306"/>
      <x:c r="D155" s="306"/>
      <x:c r="E155" s="306"/>
      <x:c r="F155" s="306"/>
      <x:c r="G155" s="306"/>
      <x:c r="H155" s="306"/>
      <x:c r="I155" s="306"/>
      <x:c r="J155" s="306"/>
      <x:c r="K155" s="306"/>
      <x:c r="L155" s="306"/>
      <x:c r="M155" s="306"/>
      <x:c r="N155" s="306"/>
      <x:c r="O155" s="306"/>
      <x:c r="P155" s="306"/>
      <x:c r="Q155" s="306"/>
    </x:row>
    <x:row r="156">
      <x:c r="A156" s="306"/>
      <x:c r="B156" s="306"/>
      <x:c r="C156" s="306"/>
      <x:c r="D156" s="306"/>
      <x:c r="E156" s="306"/>
      <x:c r="F156" s="306"/>
      <x:c r="G156" s="306"/>
      <x:c r="H156" s="306"/>
      <x:c r="I156" s="306"/>
      <x:c r="J156" s="306"/>
      <x:c r="K156" s="306"/>
      <x:c r="L156" s="306"/>
      <x:c r="M156" s="306"/>
      <x:c r="N156" s="306"/>
      <x:c r="O156" s="306"/>
      <x:c r="P156" s="306"/>
      <x:c r="Q156" s="306"/>
    </x:row>
    <x:row r="157">
      <x:c r="A157" s="306"/>
      <x:c r="B157" s="306"/>
      <x:c r="C157" s="306"/>
      <x:c r="D157" s="306"/>
      <x:c r="E157" s="306"/>
      <x:c r="F157" s="306"/>
      <x:c r="G157" s="306"/>
      <x:c r="H157" s="306"/>
      <x:c r="I157" s="306"/>
      <x:c r="J157" s="306"/>
      <x:c r="K157" s="306"/>
      <x:c r="L157" s="306"/>
      <x:c r="M157" s="306"/>
      <x:c r="N157" s="306"/>
      <x:c r="O157" s="306"/>
      <x:c r="P157" s="306"/>
      <x:c r="Q157" s="306"/>
    </x:row>
    <x:row r="158">
      <x:c r="A158" s="306"/>
      <x:c r="B158" s="306"/>
      <x:c r="C158" s="306"/>
      <x:c r="D158" s="306"/>
      <x:c r="E158" s="306"/>
      <x:c r="F158" s="306"/>
      <x:c r="G158" s="306"/>
      <x:c r="H158" s="306"/>
      <x:c r="I158" s="306"/>
      <x:c r="J158" s="306"/>
      <x:c r="K158" s="306"/>
      <x:c r="L158" s="306"/>
      <x:c r="M158" s="306"/>
      <x:c r="N158" s="306"/>
      <x:c r="O158" s="306"/>
      <x:c r="P158" s="306"/>
      <x:c r="Q158" s="306"/>
    </x:row>
    <x:row r="159">
      <x:c r="A159" s="306"/>
      <x:c r="B159" s="306"/>
      <x:c r="C159" s="306"/>
      <x:c r="D159" s="306"/>
      <x:c r="E159" s="306"/>
      <x:c r="F159" s="306"/>
      <x:c r="G159" s="306"/>
      <x:c r="H159" s="306"/>
      <x:c r="I159" s="306"/>
      <x:c r="J159" s="306"/>
      <x:c r="K159" s="306"/>
      <x:c r="L159" s="306"/>
      <x:c r="M159" s="306"/>
      <x:c r="N159" s="306"/>
      <x:c r="O159" s="306"/>
      <x:c r="P159" s="306"/>
      <x:c r="Q159" s="306"/>
    </x:row>
    <x:row r="160">
      <x:c r="A160" s="306"/>
      <x:c r="B160" s="306"/>
      <x:c r="C160" s="306"/>
      <x:c r="D160" s="306"/>
      <x:c r="E160" s="306"/>
      <x:c r="F160" s="306"/>
      <x:c r="G160" s="306"/>
      <x:c r="H160" s="306"/>
      <x:c r="I160" s="306"/>
      <x:c r="J160" s="306"/>
      <x:c r="K160" s="306"/>
      <x:c r="L160" s="306"/>
      <x:c r="M160" s="306"/>
      <x:c r="N160" s="306"/>
      <x:c r="O160" s="306"/>
      <x:c r="P160" s="306"/>
      <x:c r="Q160" s="306"/>
    </x:row>
    <x:row r="161">
      <x:c r="A161" s="306"/>
      <x:c r="B161" s="306"/>
      <x:c r="C161" s="306"/>
      <x:c r="D161" s="306"/>
      <x:c r="E161" s="306"/>
      <x:c r="F161" s="306"/>
      <x:c r="G161" s="306"/>
      <x:c r="H161" s="306"/>
      <x:c r="I161" s="306"/>
      <x:c r="J161" s="306"/>
      <x:c r="K161" s="306"/>
      <x:c r="L161" s="306"/>
      <x:c r="M161" s="306"/>
      <x:c r="N161" s="306"/>
      <x:c r="O161" s="306"/>
      <x:c r="P161" s="306"/>
      <x:c r="Q161" s="306"/>
    </x:row>
    <x:row r="162">
      <x:c r="A162" s="306"/>
      <x:c r="B162" s="306"/>
      <x:c r="C162" s="306"/>
      <x:c r="D162" s="306"/>
      <x:c r="E162" s="306"/>
      <x:c r="F162" s="306"/>
      <x:c r="G162" s="306"/>
      <x:c r="H162" s="306"/>
      <x:c r="I162" s="306"/>
      <x:c r="J162" s="306"/>
      <x:c r="K162" s="306"/>
      <x:c r="L162" s="306"/>
      <x:c r="M162" s="306"/>
      <x:c r="N162" s="306"/>
      <x:c r="O162" s="306"/>
      <x:c r="P162" s="306"/>
      <x:c r="Q162" s="306"/>
    </x:row>
    <x:row r="163">
      <x:c r="A163" s="306"/>
      <x:c r="B163" s="306"/>
      <x:c r="C163" s="306"/>
      <x:c r="D163" s="306"/>
      <x:c r="E163" s="306"/>
      <x:c r="F163" s="306"/>
      <x:c r="G163" s="306"/>
      <x:c r="H163" s="306"/>
      <x:c r="I163" s="306"/>
      <x:c r="J163" s="306"/>
      <x:c r="K163" s="306"/>
      <x:c r="L163" s="306"/>
      <x:c r="M163" s="306"/>
      <x:c r="N163" s="306"/>
      <x:c r="O163" s="306"/>
      <x:c r="P163" s="306"/>
      <x:c r="Q163" s="306"/>
    </x:row>
    <x:row r="164">
      <x:c r="A164" s="306"/>
      <x:c r="B164" s="306"/>
      <x:c r="C164" s="306"/>
      <x:c r="D164" s="306"/>
      <x:c r="E164" s="306"/>
      <x:c r="F164" s="306"/>
      <x:c r="G164" s="306"/>
      <x:c r="H164" s="306"/>
      <x:c r="I164" s="306"/>
      <x:c r="J164" s="306"/>
      <x:c r="K164" s="306"/>
      <x:c r="L164" s="306"/>
      <x:c r="M164" s="306"/>
      <x:c r="N164" s="306"/>
      <x:c r="O164" s="306"/>
      <x:c r="P164" s="306"/>
      <x:c r="Q164" s="306"/>
    </x:row>
    <x:row r="165">
      <x:c r="A165" s="306"/>
      <x:c r="B165" s="306"/>
      <x:c r="C165" s="306"/>
      <x:c r="D165" s="306"/>
      <x:c r="E165" s="306"/>
      <x:c r="F165" s="306"/>
      <x:c r="G165" s="306"/>
      <x:c r="H165" s="306"/>
      <x:c r="I165" s="306"/>
      <x:c r="J165" s="306"/>
      <x:c r="K165" s="306"/>
      <x:c r="L165" s="306"/>
      <x:c r="M165" s="306"/>
      <x:c r="N165" s="306"/>
      <x:c r="O165" s="306"/>
      <x:c r="P165" s="306"/>
      <x:c r="Q165" s="306"/>
    </x:row>
    <x:row r="166">
      <x:c r="A166" s="306"/>
      <x:c r="B166" s="306"/>
      <x:c r="C166" s="306"/>
      <x:c r="D166" s="306"/>
      <x:c r="E166" s="306"/>
      <x:c r="F166" s="306"/>
      <x:c r="G166" s="306"/>
      <x:c r="H166" s="306"/>
      <x:c r="I166" s="306"/>
      <x:c r="J166" s="306"/>
      <x:c r="K166" s="306"/>
      <x:c r="L166" s="306"/>
      <x:c r="M166" s="306"/>
      <x:c r="N166" s="306"/>
      <x:c r="O166" s="306"/>
      <x:c r="P166" s="306"/>
      <x:c r="Q166" s="306"/>
    </x:row>
    <x:row r="167">
      <x:c r="A167" s="306"/>
      <x:c r="B167" s="306"/>
      <x:c r="C167" s="306"/>
      <x:c r="D167" s="306"/>
      <x:c r="E167" s="306"/>
      <x:c r="F167" s="306"/>
      <x:c r="G167" s="306"/>
      <x:c r="H167" s="306"/>
      <x:c r="I167" s="306"/>
      <x:c r="J167" s="306"/>
      <x:c r="K167" s="306"/>
      <x:c r="L167" s="306"/>
      <x:c r="M167" s="306"/>
      <x:c r="N167" s="306"/>
      <x:c r="O167" s="306"/>
      <x:c r="P167" s="306"/>
      <x:c r="Q167" s="306"/>
    </x:row>
    <x:row r="168">
      <x:c r="A168" s="306"/>
      <x:c r="B168" s="306"/>
      <x:c r="C168" s="306"/>
      <x:c r="D168" s="306"/>
      <x:c r="E168" s="306"/>
      <x:c r="F168" s="306"/>
      <x:c r="G168" s="306"/>
      <x:c r="H168" s="306"/>
      <x:c r="I168" s="306"/>
      <x:c r="J168" s="306"/>
      <x:c r="K168" s="306"/>
      <x:c r="L168" s="306"/>
      <x:c r="M168" s="306"/>
      <x:c r="N168" s="306"/>
      <x:c r="O168" s="306"/>
      <x:c r="P168" s="306"/>
      <x:c r="Q168" s="306"/>
    </x:row>
    <x:row r="169">
      <x:c r="A169" s="306"/>
      <x:c r="B169" s="306"/>
      <x:c r="C169" s="306"/>
      <x:c r="D169" s="306"/>
      <x:c r="E169" s="306"/>
      <x:c r="F169" s="306"/>
      <x:c r="G169" s="306"/>
      <x:c r="H169" s="306"/>
      <x:c r="I169" s="306"/>
      <x:c r="J169" s="306"/>
      <x:c r="K169" s="306"/>
      <x:c r="L169" s="306"/>
      <x:c r="M169" s="306"/>
      <x:c r="N169" s="306"/>
      <x:c r="O169" s="306"/>
      <x:c r="P169" s="306"/>
      <x:c r="Q169" s="306"/>
    </x:row>
    <x:row r="170">
      <x:c r="A170" s="306"/>
      <x:c r="B170" s="306"/>
      <x:c r="C170" s="306"/>
      <x:c r="D170" s="306"/>
      <x:c r="E170" s="306"/>
      <x:c r="F170" s="306"/>
      <x:c r="G170" s="306"/>
      <x:c r="H170" s="306"/>
      <x:c r="I170" s="306"/>
      <x:c r="J170" s="306"/>
      <x:c r="K170" s="306"/>
      <x:c r="L170" s="306"/>
      <x:c r="M170" s="306"/>
      <x:c r="N170" s="306"/>
      <x:c r="O170" s="306"/>
      <x:c r="P170" s="306"/>
      <x:c r="Q170" s="306"/>
    </x:row>
    <x:row r="171">
      <x:c r="A171" s="306"/>
      <x:c r="B171" s="306"/>
      <x:c r="C171" s="306"/>
      <x:c r="D171" s="306"/>
      <x:c r="E171" s="306"/>
      <x:c r="F171" s="306"/>
      <x:c r="G171" s="306"/>
      <x:c r="H171" s="306"/>
      <x:c r="I171" s="306"/>
      <x:c r="J171" s="306"/>
      <x:c r="K171" s="306"/>
      <x:c r="L171" s="306"/>
      <x:c r="M171" s="306"/>
      <x:c r="N171" s="306"/>
      <x:c r="O171" s="306"/>
      <x:c r="P171" s="306"/>
      <x:c r="Q171" s="306"/>
    </x:row>
    <x:row r="172">
      <x:c r="A172" s="306"/>
      <x:c r="B172" s="306"/>
      <x:c r="C172" s="306"/>
      <x:c r="D172" s="306"/>
      <x:c r="E172" s="306"/>
      <x:c r="F172" s="306"/>
      <x:c r="G172" s="306"/>
      <x:c r="H172" s="306"/>
      <x:c r="I172" s="306"/>
      <x:c r="J172" s="306"/>
      <x:c r="K172" s="306"/>
      <x:c r="L172" s="306"/>
      <x:c r="M172" s="306"/>
      <x:c r="N172" s="306"/>
      <x:c r="O172" s="306"/>
      <x:c r="P172" s="306"/>
      <x:c r="Q172" s="306"/>
    </x:row>
    <x:row r="173">
      <x:c r="A173" s="306"/>
      <x:c r="B173" s="306"/>
      <x:c r="C173" s="306"/>
      <x:c r="D173" s="306"/>
      <x:c r="E173" s="306"/>
      <x:c r="F173" s="306"/>
      <x:c r="G173" s="306"/>
      <x:c r="H173" s="306"/>
      <x:c r="I173" s="306"/>
      <x:c r="J173" s="306"/>
      <x:c r="K173" s="306"/>
      <x:c r="L173" s="306"/>
      <x:c r="M173" s="306"/>
      <x:c r="N173" s="306"/>
      <x:c r="O173" s="306"/>
      <x:c r="P173" s="306"/>
      <x:c r="Q173" s="306"/>
    </x:row>
    <x:row r="174">
      <x:c r="A174" s="306"/>
      <x:c r="B174" s="306"/>
      <x:c r="C174" s="306"/>
      <x:c r="D174" s="306"/>
      <x:c r="E174" s="306"/>
      <x:c r="F174" s="306"/>
      <x:c r="G174" s="306"/>
      <x:c r="H174" s="306"/>
      <x:c r="I174" s="306"/>
      <x:c r="J174" s="306"/>
      <x:c r="K174" s="306"/>
      <x:c r="L174" s="306"/>
      <x:c r="M174" s="306"/>
      <x:c r="N174" s="306"/>
      <x:c r="O174" s="306"/>
      <x:c r="P174" s="306"/>
      <x:c r="Q174" s="306"/>
    </x:row>
    <x:row r="175">
      <x:c r="A175" s="306"/>
      <x:c r="B175" s="306"/>
      <x:c r="C175" s="306"/>
      <x:c r="D175" s="306"/>
      <x:c r="E175" s="306"/>
      <x:c r="F175" s="306"/>
      <x:c r="G175" s="306"/>
      <x:c r="H175" s="306"/>
      <x:c r="I175" s="306"/>
      <x:c r="J175" s="306"/>
      <x:c r="K175" s="306"/>
      <x:c r="L175" s="306"/>
      <x:c r="M175" s="306"/>
      <x:c r="N175" s="306"/>
      <x:c r="O175" s="306"/>
      <x:c r="P175" s="306"/>
      <x:c r="Q175" s="306"/>
    </x:row>
    <x:row r="176">
      <x:c r="A176" s="306"/>
      <x:c r="B176" s="306"/>
      <x:c r="C176" s="306"/>
      <x:c r="D176" s="306"/>
      <x:c r="E176" s="306"/>
      <x:c r="F176" s="306"/>
      <x:c r="G176" s="306"/>
      <x:c r="H176" s="306"/>
      <x:c r="I176" s="306"/>
      <x:c r="J176" s="306"/>
      <x:c r="K176" s="306"/>
      <x:c r="L176" s="306"/>
      <x:c r="M176" s="306"/>
      <x:c r="N176" s="306"/>
      <x:c r="O176" s="306"/>
      <x:c r="P176" s="306"/>
      <x:c r="Q176" s="306"/>
    </x:row>
    <x:row r="177">
      <x:c r="A177" s="306"/>
      <x:c r="B177" s="306"/>
      <x:c r="C177" s="306"/>
      <x:c r="D177" s="306"/>
      <x:c r="E177" s="306"/>
      <x:c r="F177" s="306"/>
      <x:c r="G177" s="306"/>
      <x:c r="H177" s="306"/>
      <x:c r="I177" s="306"/>
      <x:c r="J177" s="306"/>
      <x:c r="K177" s="306"/>
      <x:c r="L177" s="306"/>
      <x:c r="M177" s="306"/>
      <x:c r="N177" s="306"/>
      <x:c r="O177" s="306"/>
      <x:c r="P177" s="306"/>
      <x:c r="Q177" s="306"/>
    </x:row>
    <x:row r="178">
      <x:c r="A178" s="306"/>
      <x:c r="B178" s="306"/>
      <x:c r="C178" s="306"/>
      <x:c r="D178" s="306"/>
      <x:c r="E178" s="306"/>
      <x:c r="F178" s="306"/>
      <x:c r="G178" s="306"/>
      <x:c r="H178" s="306"/>
      <x:c r="I178" s="306"/>
      <x:c r="J178" s="306"/>
      <x:c r="K178" s="306"/>
      <x:c r="L178" s="306"/>
      <x:c r="M178" s="306"/>
      <x:c r="N178" s="306"/>
      <x:c r="O178" s="306"/>
      <x:c r="P178" s="306"/>
      <x:c r="Q178" s="306"/>
    </x:row>
    <x:row r="179">
      <x:c r="A179" s="306"/>
      <x:c r="B179" s="306"/>
      <x:c r="C179" s="306"/>
      <x:c r="D179" s="306"/>
      <x:c r="E179" s="306"/>
      <x:c r="F179" s="306"/>
      <x:c r="G179" s="306"/>
      <x:c r="H179" s="306"/>
      <x:c r="I179" s="306"/>
      <x:c r="J179" s="306"/>
      <x:c r="K179" s="306"/>
      <x:c r="L179" s="306"/>
      <x:c r="M179" s="306"/>
      <x:c r="N179" s="306"/>
      <x:c r="O179" s="306"/>
      <x:c r="P179" s="306"/>
      <x:c r="Q179" s="306"/>
    </x:row>
    <x:row r="180">
      <x:c r="A180" s="306"/>
      <x:c r="B180" s="306"/>
      <x:c r="C180" s="306"/>
      <x:c r="D180" s="306"/>
      <x:c r="E180" s="306"/>
      <x:c r="F180" s="306"/>
      <x:c r="G180" s="306"/>
      <x:c r="H180" s="306"/>
      <x:c r="I180" s="306"/>
      <x:c r="J180" s="306"/>
      <x:c r="K180" s="306"/>
      <x:c r="L180" s="306"/>
      <x:c r="M180" s="306"/>
      <x:c r="N180" s="306"/>
      <x:c r="O180" s="306"/>
      <x:c r="P180" s="306"/>
      <x:c r="Q180" s="306"/>
    </x:row>
    <x:row r="181">
      <x:c r="A181" s="306"/>
      <x:c r="B181" s="306"/>
      <x:c r="C181" s="306"/>
      <x:c r="D181" s="306"/>
      <x:c r="E181" s="306"/>
      <x:c r="F181" s="306"/>
      <x:c r="G181" s="306"/>
      <x:c r="H181" s="306"/>
      <x:c r="I181" s="306"/>
      <x:c r="J181" s="306"/>
      <x:c r="K181" s="306"/>
      <x:c r="L181" s="306"/>
      <x:c r="M181" s="306"/>
      <x:c r="N181" s="306"/>
      <x:c r="O181" s="306"/>
      <x:c r="P181" s="306"/>
      <x:c r="Q181" s="306"/>
    </x:row>
    <x:row r="182">
      <x:c r="A182" s="306"/>
      <x:c r="B182" s="306"/>
      <x:c r="C182" s="306"/>
      <x:c r="D182" s="306"/>
      <x:c r="E182" s="306"/>
      <x:c r="F182" s="306"/>
      <x:c r="G182" s="306"/>
      <x:c r="H182" s="306"/>
      <x:c r="I182" s="306"/>
      <x:c r="J182" s="306"/>
      <x:c r="K182" s="306"/>
      <x:c r="L182" s="306"/>
      <x:c r="M182" s="306"/>
      <x:c r="N182" s="306"/>
      <x:c r="O182" s="306"/>
      <x:c r="P182" s="306"/>
      <x:c r="Q182" s="306"/>
    </x:row>
    <x:row r="183">
      <x:c r="A183" s="306"/>
      <x:c r="B183" s="306"/>
      <x:c r="C183" s="306"/>
      <x:c r="D183" s="306"/>
      <x:c r="E183" s="306"/>
      <x:c r="F183" s="306"/>
      <x:c r="G183" s="306"/>
      <x:c r="H183" s="306"/>
      <x:c r="I183" s="306"/>
      <x:c r="J183" s="306"/>
      <x:c r="K183" s="306"/>
      <x:c r="L183" s="306"/>
      <x:c r="M183" s="306"/>
      <x:c r="N183" s="306"/>
      <x:c r="O183" s="306"/>
      <x:c r="P183" s="306"/>
      <x:c r="Q183" s="306"/>
    </x:row>
    <x:row r="184">
      <x:c r="A184" s="306"/>
      <x:c r="B184" s="306"/>
      <x:c r="C184" s="306"/>
      <x:c r="D184" s="306"/>
      <x:c r="E184" s="306"/>
      <x:c r="F184" s="306"/>
      <x:c r="G184" s="306"/>
      <x:c r="H184" s="306"/>
      <x:c r="I184" s="306"/>
      <x:c r="J184" s="306"/>
      <x:c r="K184" s="306"/>
      <x:c r="L184" s="306"/>
      <x:c r="M184" s="306"/>
      <x:c r="N184" s="306"/>
      <x:c r="O184" s="306"/>
      <x:c r="P184" s="306"/>
      <x:c r="Q184" s="306"/>
    </x:row>
    <x:row r="185">
      <x:c r="A185" s="306"/>
      <x:c r="B185" s="306"/>
      <x:c r="C185" s="306"/>
      <x:c r="D185" s="306"/>
      <x:c r="E185" s="306"/>
      <x:c r="F185" s="306"/>
      <x:c r="G185" s="306"/>
      <x:c r="H185" s="306"/>
      <x:c r="I185" s="306"/>
      <x:c r="J185" s="306"/>
      <x:c r="K185" s="306"/>
      <x:c r="L185" s="306"/>
      <x:c r="M185" s="306"/>
      <x:c r="N185" s="306"/>
      <x:c r="O185" s="306"/>
      <x:c r="P185" s="306"/>
      <x:c r="Q185" s="306"/>
    </x:row>
    <x:row r="186">
      <x:c r="A186" s="306"/>
      <x:c r="B186" s="306"/>
      <x:c r="C186" s="306"/>
      <x:c r="D186" s="306"/>
      <x:c r="E186" s="306"/>
      <x:c r="F186" s="306"/>
      <x:c r="G186" s="306"/>
      <x:c r="H186" s="306"/>
      <x:c r="I186" s="306"/>
      <x:c r="J186" s="306"/>
      <x:c r="K186" s="306"/>
      <x:c r="L186" s="306"/>
      <x:c r="M186" s="306"/>
      <x:c r="N186" s="306"/>
      <x:c r="O186" s="306"/>
      <x:c r="P186" s="306"/>
      <x:c r="Q186" s="306"/>
    </x:row>
    <x:row r="187">
      <x:c r="A187" s="306"/>
      <x:c r="B187" s="306"/>
      <x:c r="C187" s="306"/>
      <x:c r="D187" s="306"/>
      <x:c r="E187" s="306"/>
      <x:c r="F187" s="306"/>
      <x:c r="G187" s="306"/>
      <x:c r="H187" s="306"/>
      <x:c r="I187" s="306"/>
      <x:c r="J187" s="306"/>
      <x:c r="K187" s="306"/>
      <x:c r="L187" s="306"/>
      <x:c r="M187" s="306"/>
      <x:c r="N187" s="306"/>
      <x:c r="O187" s="306"/>
      <x:c r="P187" s="306"/>
      <x:c r="Q187" s="306"/>
    </x:row>
    <x:row r="188">
      <x:c r="A188" s="306"/>
      <x:c r="B188" s="306"/>
      <x:c r="C188" s="306"/>
      <x:c r="D188" s="306"/>
      <x:c r="E188" s="306"/>
      <x:c r="F188" s="306"/>
      <x:c r="G188" s="306"/>
      <x:c r="H188" s="306"/>
      <x:c r="I188" s="306"/>
      <x:c r="J188" s="306"/>
      <x:c r="K188" s="306"/>
      <x:c r="L188" s="306"/>
      <x:c r="M188" s="306"/>
      <x:c r="N188" s="306"/>
      <x:c r="O188" s="306"/>
      <x:c r="P188" s="306"/>
      <x:c r="Q188" s="306"/>
    </x:row>
    <x:row r="189">
      <x:c r="A189" s="306"/>
      <x:c r="B189" s="306"/>
      <x:c r="C189" s="306"/>
      <x:c r="D189" s="306"/>
      <x:c r="E189" s="306"/>
      <x:c r="F189" s="306"/>
      <x:c r="G189" s="306"/>
      <x:c r="H189" s="306"/>
      <x:c r="I189" s="306"/>
      <x:c r="J189" s="306"/>
      <x:c r="K189" s="306"/>
      <x:c r="L189" s="306"/>
      <x:c r="M189" s="306"/>
      <x:c r="N189" s="306"/>
      <x:c r="O189" s="306"/>
      <x:c r="P189" s="306"/>
      <x:c r="Q189" s="306"/>
    </x:row>
    <x:row r="190">
      <x:c r="A190" s="306"/>
      <x:c r="B190" s="306"/>
      <x:c r="C190" s="306"/>
      <x:c r="D190" s="306"/>
      <x:c r="E190" s="306"/>
      <x:c r="F190" s="306"/>
      <x:c r="G190" s="306"/>
      <x:c r="H190" s="306"/>
      <x:c r="I190" s="306"/>
      <x:c r="J190" s="306"/>
      <x:c r="K190" s="306"/>
      <x:c r="L190" s="306"/>
      <x:c r="M190" s="306"/>
      <x:c r="N190" s="306"/>
      <x:c r="O190" s="306"/>
      <x:c r="P190" s="306"/>
      <x:c r="Q190" s="306"/>
    </x:row>
    <x:row r="191">
      <x:c r="A191" s="306"/>
      <x:c r="B191" s="306"/>
      <x:c r="C191" s="306"/>
      <x:c r="D191" s="306"/>
      <x:c r="E191" s="306"/>
      <x:c r="F191" s="306"/>
      <x:c r="G191" s="306"/>
      <x:c r="H191" s="306"/>
      <x:c r="I191" s="306"/>
      <x:c r="J191" s="306"/>
      <x:c r="K191" s="306"/>
      <x:c r="L191" s="306"/>
      <x:c r="M191" s="306"/>
      <x:c r="N191" s="306"/>
      <x:c r="O191" s="306"/>
      <x:c r="P191" s="306"/>
      <x:c r="Q191" s="306"/>
    </x:row>
    <x:row r="192">
      <x:c r="A192" s="306"/>
      <x:c r="B192" s="306"/>
      <x:c r="C192" s="306"/>
      <x:c r="D192" s="306"/>
      <x:c r="E192" s="306"/>
      <x:c r="F192" s="306"/>
      <x:c r="G192" s="306"/>
      <x:c r="H192" s="306"/>
      <x:c r="I192" s="306"/>
      <x:c r="J192" s="306"/>
      <x:c r="K192" s="306"/>
      <x:c r="L192" s="306"/>
      <x:c r="M192" s="306"/>
      <x:c r="N192" s="306"/>
      <x:c r="O192" s="306"/>
      <x:c r="P192" s="306"/>
      <x:c r="Q192" s="306"/>
    </x:row>
    <x:row r="193">
      <x:c r="A193" s="306"/>
      <x:c r="B193" s="306"/>
      <x:c r="C193" s="306"/>
      <x:c r="D193" s="306"/>
      <x:c r="E193" s="306"/>
      <x:c r="F193" s="306"/>
      <x:c r="G193" s="306"/>
      <x:c r="H193" s="306"/>
      <x:c r="I193" s="306"/>
      <x:c r="J193" s="306"/>
      <x:c r="K193" s="306"/>
      <x:c r="L193" s="306"/>
      <x:c r="M193" s="306"/>
      <x:c r="N193" s="306"/>
      <x:c r="O193" s="306"/>
      <x:c r="P193" s="306"/>
      <x:c r="Q193" s="306"/>
    </x:row>
    <x:row r="194">
      <x:c r="A194" s="306"/>
      <x:c r="B194" s="306"/>
      <x:c r="C194" s="306"/>
      <x:c r="D194" s="306"/>
      <x:c r="E194" s="306"/>
      <x:c r="F194" s="306"/>
      <x:c r="G194" s="306"/>
      <x:c r="H194" s="306"/>
      <x:c r="I194" s="306"/>
      <x:c r="J194" s="306"/>
      <x:c r="K194" s="306"/>
      <x:c r="L194" s="306"/>
      <x:c r="M194" s="306"/>
      <x:c r="N194" s="306"/>
      <x:c r="O194" s="306"/>
      <x:c r="P194" s="306"/>
      <x:c r="Q194" s="306"/>
    </x:row>
    <x:row r="195">
      <x:c r="A195" s="306"/>
      <x:c r="B195" s="306"/>
      <x:c r="C195" s="306"/>
      <x:c r="D195" s="306"/>
      <x:c r="E195" s="306"/>
      <x:c r="F195" s="306"/>
      <x:c r="G195" s="306"/>
      <x:c r="H195" s="306"/>
      <x:c r="I195" s="306"/>
      <x:c r="J195" s="306"/>
      <x:c r="K195" s="306"/>
      <x:c r="L195" s="306"/>
      <x:c r="M195" s="306"/>
      <x:c r="N195" s="306"/>
      <x:c r="O195" s="306"/>
      <x:c r="P195" s="306"/>
      <x:c r="Q195" s="306"/>
    </x:row>
    <x:row r="196">
      <x:c r="A196" s="306"/>
      <x:c r="B196" s="306"/>
      <x:c r="C196" s="306"/>
      <x:c r="D196" s="306"/>
      <x:c r="E196" s="306"/>
      <x:c r="F196" s="306"/>
      <x:c r="G196" s="306"/>
      <x:c r="H196" s="306"/>
      <x:c r="I196" s="306"/>
      <x:c r="J196" s="306"/>
      <x:c r="K196" s="306"/>
      <x:c r="L196" s="306"/>
      <x:c r="M196" s="306"/>
      <x:c r="N196" s="306"/>
      <x:c r="O196" s="306"/>
      <x:c r="P196" s="306"/>
      <x:c r="Q196" s="306"/>
    </x:row>
    <x:row r="197">
      <x:c r="A197" s="306"/>
      <x:c r="B197" s="306"/>
      <x:c r="C197" s="306"/>
      <x:c r="D197" s="306"/>
      <x:c r="E197" s="306"/>
      <x:c r="F197" s="306"/>
      <x:c r="G197" s="306"/>
      <x:c r="H197" s="306"/>
      <x:c r="I197" s="306"/>
      <x:c r="J197" s="306"/>
      <x:c r="K197" s="306"/>
      <x:c r="L197" s="306"/>
      <x:c r="M197" s="306"/>
      <x:c r="N197" s="306"/>
      <x:c r="O197" s="306"/>
      <x:c r="P197" s="306"/>
      <x:c r="Q197" s="306"/>
    </x:row>
    <x:row r="198">
      <x:c r="A198" s="306"/>
      <x:c r="B198" s="306"/>
      <x:c r="C198" s="306"/>
      <x:c r="D198" s="306"/>
      <x:c r="E198" s="306"/>
      <x:c r="F198" s="306"/>
      <x:c r="G198" s="306"/>
      <x:c r="H198" s="306"/>
      <x:c r="I198" s="306"/>
      <x:c r="J198" s="306"/>
      <x:c r="K198" s="306"/>
      <x:c r="L198" s="306"/>
      <x:c r="M198" s="306"/>
      <x:c r="N198" s="306"/>
      <x:c r="O198" s="306"/>
      <x:c r="P198" s="306"/>
      <x:c r="Q198" s="306"/>
    </x:row>
    <x:row r="199">
      <x:c r="A199" s="306"/>
      <x:c r="B199" s="306"/>
      <x:c r="C199" s="306"/>
      <x:c r="D199" s="306"/>
      <x:c r="E199" s="306"/>
      <x:c r="F199" s="306"/>
      <x:c r="G199" s="306"/>
      <x:c r="H199" s="306"/>
      <x:c r="I199" s="306"/>
      <x:c r="J199" s="306"/>
      <x:c r="K199" s="306"/>
      <x:c r="L199" s="306"/>
      <x:c r="M199" s="306"/>
      <x:c r="N199" s="306"/>
      <x:c r="O199" s="306"/>
      <x:c r="P199" s="306"/>
      <x:c r="Q199" s="306"/>
    </x:row>
    <x:row r="200">
      <x:c r="A200" s="306"/>
      <x:c r="B200" s="306"/>
      <x:c r="C200" s="306"/>
      <x:c r="D200" s="306"/>
      <x:c r="E200" s="306"/>
      <x:c r="F200" s="306"/>
      <x:c r="G200" s="306"/>
      <x:c r="H200" s="306"/>
      <x:c r="I200" s="306"/>
      <x:c r="J200" s="306"/>
      <x:c r="K200" s="306"/>
      <x:c r="L200" s="306"/>
      <x:c r="M200" s="306"/>
      <x:c r="N200" s="306"/>
      <x:c r="O200" s="306"/>
      <x:c r="P200" s="306"/>
      <x:c r="Q200" s="306"/>
    </x:row>
    <x:row r="201">
      <x:c r="A201" s="306"/>
      <x:c r="B201" s="306"/>
      <x:c r="C201" s="306"/>
      <x:c r="D201" s="306"/>
      <x:c r="E201" s="306"/>
      <x:c r="F201" s="306"/>
      <x:c r="G201" s="306"/>
      <x:c r="H201" s="306"/>
      <x:c r="I201" s="306"/>
      <x:c r="J201" s="306"/>
      <x:c r="K201" s="306"/>
      <x:c r="L201" s="306"/>
      <x:c r="M201" s="306"/>
      <x:c r="N201" s="306"/>
      <x:c r="O201" s="306"/>
      <x:c r="P201" s="306"/>
      <x:c r="Q201" s="306"/>
    </x:row>
    <x:row r="202">
      <x:c r="A202" s="306"/>
      <x:c r="B202" s="306"/>
      <x:c r="C202" s="306"/>
      <x:c r="D202" s="306"/>
      <x:c r="E202" s="306"/>
      <x:c r="F202" s="306"/>
      <x:c r="G202" s="306"/>
      <x:c r="H202" s="306"/>
      <x:c r="I202" s="306"/>
      <x:c r="J202" s="306"/>
      <x:c r="K202" s="306"/>
      <x:c r="L202" s="306"/>
      <x:c r="M202" s="306"/>
      <x:c r="N202" s="306"/>
      <x:c r="O202" s="306"/>
      <x:c r="P202" s="306"/>
      <x:c r="Q202" s="306"/>
    </x:row>
    <x:row r="203">
      <x:c r="A203" s="306"/>
      <x:c r="B203" s="306"/>
      <x:c r="C203" s="306"/>
      <x:c r="D203" s="306"/>
      <x:c r="E203" s="306"/>
      <x:c r="F203" s="306"/>
      <x:c r="G203" s="306"/>
      <x:c r="H203" s="306"/>
      <x:c r="I203" s="306"/>
      <x:c r="J203" s="306"/>
      <x:c r="K203" s="306"/>
      <x:c r="L203" s="306"/>
      <x:c r="M203" s="306"/>
      <x:c r="N203" s="306"/>
      <x:c r="O203" s="306"/>
      <x:c r="P203" s="306"/>
      <x:c r="Q203" s="306"/>
    </x:row>
    <x:row r="204">
      <x:c r="A204" s="306"/>
      <x:c r="B204" s="306"/>
      <x:c r="C204" s="306"/>
      <x:c r="D204" s="306"/>
      <x:c r="E204" s="306"/>
      <x:c r="F204" s="306"/>
      <x:c r="G204" s="306"/>
      <x:c r="H204" s="306"/>
      <x:c r="I204" s="306"/>
      <x:c r="J204" s="306"/>
      <x:c r="K204" s="306"/>
      <x:c r="L204" s="306"/>
      <x:c r="M204" s="306"/>
      <x:c r="N204" s="306"/>
      <x:c r="O204" s="306"/>
      <x:c r="P204" s="306"/>
      <x:c r="Q204" s="306"/>
    </x:row>
  </x:sheetData>
  <x:mergeCells>
    <x:mergeCell ref="A1:L2"/>
    <x:mergeCell ref="A3:L3"/>
  </x:mergeCells>
  <x:conditionalFormatting sqref="K5:K10">
    <x:cfRule type="expression" dxfId="5" priority="1">
      <x:formula>K5="Done"</x:formula>
    </x:cfRule>
    <x:cfRule type="expression" dxfId="6" priority="2">
      <x:formula>K5="Partial"</x:formula>
    </x:cfRule>
  </x:conditionalFormatting>
  <x:conditionalFormatting sqref="L5:L10">
    <x:cfRule type="dataBar" priority="3">
      <x:dataBar>
        <x:cfvo type="min"/>
        <x:cfvo type="max"/>
        <x:color rgb="FF1565C0"/>
      </x:dataBar>
      <x:extLst>
        <x:ext xmlns:x14="http://schemas.microsoft.com/office/spreadsheetml/2009/9/main" uri="{B025F937-C7B1-47D3-B67F-A62EFF666E3E}">
          <x14:id>{E2FCC012-1187-2C28-7679-5843600DD32C}</x14:id>
        </x:ext>
      </x:extLst>
    </x:cfRule>
  </x:conditionalFormatting>
  <x:dataValidations count="1">
    <x:dataValidation type="list" sqref="K5:K10">
      <x:formula1>"Not Started,Partial,Done"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2FCC012-1187-2C28-7679-5843600DD32C}">
            <x14:dataBar gradient="1">
              <x14:cfvo type="min"/>
              <x14:cfvo type="max"/>
              <x14:fillColor rgb="FF1565C0"/>
            </x14:dataBar>
          </x14:cfRule>
          <xm:sqref>L5:L10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20" hidden="0" customWidth="1"/>
    <x:col min="5" max="5" width="16" hidden="0" customWidth="1"/>
    <x:col min="6" max="6" width="13" hidden="0" customWidth="1"/>
    <x:col min="7" max="7" width="10" hidden="0" customWidth="1"/>
    <x:col min="8" max="8" width="10" hidden="0" customWidth="1"/>
    <x:col min="9" max="9" width="10" hidden="0" customWidth="1"/>
    <x:col min="10" max="10" width="22" hidden="0" customWidth="1"/>
    <x:col min="11" max="11" width="32" hidden="0" customWidth="1"/>
    <x:col min="12" max="12" width="32" hidden="0" customWidth="1"/>
    <x:col min="13" max="13" width="23" hidden="0" customWidth="1"/>
    <x:col min="14" max="14" width="15" hidden="0" customWidth="1"/>
    <x:col min="15" max="15" width="16" hidden="0" customWidth="1"/>
    <x:col min="16" max="16" width="34" hidden="0" customWidth="1"/>
    <x:col min="17" max="17" width="34" hidden="0" customWidth="1"/>
    <x:col min="18" max="18" width="17" hidden="0" customWidth="1"/>
    <x:col min="19" max="19" width="14" hidden="0" customWidth="1"/>
  </x:cols>
  <x:sheetData>
    <x:row r="1" ht="34" customHeight="1">
      <x:c r="A1" s="515" t="str">
        <x:v>RUN &amp; PRACTICE LOG</x:v>
      </x:c>
      <x:c r="B1" s="515"/>
      <x:c r="C1" s="515"/>
      <x:c r="D1" s="515"/>
      <x:c r="E1" s="515"/>
      <x:c r="F1" s="515"/>
      <x:c r="G1" s="515"/>
      <x:c r="H1" s="515"/>
      <x:c r="I1" s="515"/>
      <x:c r="J1" s="515"/>
      <x:c r="K1" s="515"/>
      <x:c r="L1" s="515"/>
      <x:c r="M1" s="515"/>
      <x:c r="N1" s="515"/>
      <x:c r="O1" s="515"/>
      <x:c r="P1" s="515"/>
      <x:c r="Q1" s="515"/>
      <x:c r="R1" s="515"/>
      <x:c r="S1" s="515"/>
    </x:row>
    <x:row r="2" ht="34" customHeight="1">
      <x:c r="A2" s="515"/>
      <x:c r="B2" s="515"/>
      <x:c r="C2" s="515"/>
      <x:c r="D2" s="515"/>
      <x:c r="E2" s="515"/>
      <x:c r="F2" s="515"/>
      <x:c r="G2" s="515"/>
      <x:c r="H2" s="515"/>
      <x:c r="I2" s="515"/>
      <x:c r="J2" s="515"/>
      <x:c r="K2" s="515"/>
      <x:c r="L2" s="515"/>
      <x:c r="M2" s="515"/>
      <x:c r="N2" s="515"/>
      <x:c r="O2" s="515"/>
      <x:c r="P2" s="515"/>
      <x:c r="Q2" s="515"/>
      <x:c r="R2" s="515"/>
      <x:c r="S2" s="515"/>
    </x:row>
    <x:row r="3">
      <x:c r="A3" s="523" t="str">
        <x:v>Enter your run information in columns A–Q. Columns R–S calculate automatically. Time should be entered as hours:minutes:seconds.</x:v>
      </x:c>
      <x:c r="B3" s="523" t="str">
        <x:v>Enter your run information in columns A–Q. Columns R–S calculate automatically. Time should be entered as hours:minutes:seconds.</x:v>
      </x:c>
      <x:c r="C3" s="523" t="str">
        <x:v>Enter your run information in columns A–Q. Columns R–S calculate automatically. Time should be entered as hours:minutes:seconds.</x:v>
      </x:c>
      <x:c r="D3" s="523" t="str">
        <x:v>Enter your run information in columns A–Q. Columns R–S calculate automatically. Time should be entered as hours:minutes:seconds.</x:v>
      </x:c>
      <x:c r="E3" s="523" t="str">
        <x:v>Enter your run information in columns A–Q. Columns R–S calculate automatically. Time should be entered as hours:minutes:seconds.</x:v>
      </x:c>
      <x:c r="F3" s="523" t="str">
        <x:v>Enter your run information in columns A–Q. Columns R–S calculate automatically. Time should be entered as hours:minutes:seconds.</x:v>
      </x:c>
      <x:c r="G3" s="523" t="str">
        <x:v>Enter your run information in columns A–Q. Columns R–S calculate automatically. Time should be entered as hours:minutes:seconds.</x:v>
      </x:c>
      <x:c r="H3" s="523" t="str">
        <x:v>Enter your run information in columns A–Q. Columns R–S calculate automatically. Time should be entered as hours:minutes:seconds.</x:v>
      </x:c>
      <x:c r="I3" s="523" t="str">
        <x:v>Enter your run information in columns A–Q. Columns R–S calculate automatically. Time should be entered as hours:minutes:seconds.</x:v>
      </x:c>
      <x:c r="J3" s="523" t="str">
        <x:v>Enter your run information in columns A–Q. Columns R–S calculate automatically. Time should be entered as hours:minutes:seconds.</x:v>
      </x:c>
      <x:c r="K3" s="523" t="str">
        <x:v>Enter your run information in columns A–Q. Columns R–S calculate automatically. Time should be entered as hours:minutes:seconds.</x:v>
      </x:c>
      <x:c r="L3" s="523" t="str">
        <x:v>Enter your run information in columns A–Q. Columns R–S calculate automatically. Time should be entered as hours:minutes:seconds.</x:v>
      </x:c>
      <x:c r="M3" s="523" t="str">
        <x:v>Enter your run information in columns A–Q. Columns R–S calculate automatically. Time should be entered as hours:minutes:seconds.</x:v>
      </x:c>
      <x:c r="N3" s="523" t="str">
        <x:v>Enter your run information in columns A–Q. Columns R–S calculate automatically. Time should be entered as hours:minutes:seconds.</x:v>
      </x:c>
      <x:c r="O3" s="523" t="str">
        <x:v>Enter your run information in columns A–Q. Columns R–S calculate automatically. Time should be entered as hours:minutes:seconds.</x:v>
      </x:c>
      <x:c r="P3" s="523" t="str">
        <x:v>Enter your run information in columns A–Q. Columns R–S calculate automatically. Time should be entered as hours:minutes:seconds.</x:v>
      </x:c>
      <x:c r="Q3" s="523" t="str">
        <x:v>Enter your run information in columns A–Q. Columns R–S calculate automatically. Time should be entered as hours:minutes:seconds.</x:v>
      </x:c>
      <x:c r="R3" s="523" t="str">
        <x:v>Enter your run information in columns A–Q. Columns R–S calculate automatically. Time should be entered as hours:minutes:seconds.</x:v>
      </x:c>
      <x:c r="S3" s="523" t="str">
        <x:v>Enter your run information in columns A–Q. Columns R–S calculate automatically. Time should be entered as hours:minutes:seconds.</x:v>
      </x:c>
    </x:row>
    <x:row r="4">
      <x:c r="A4" s="332" t="str">
        <x:v>Date</x:v>
      </x:c>
      <x:c r="B4" s="333" t="str">
        <x:v>Mode</x:v>
      </x:c>
      <x:c r="C4" s="333" t="str">
        <x:v>Seed / Rules</x:v>
      </x:c>
      <x:c r="D4" s="333" t="str">
        <x:v>Attempt Type</x:v>
      </x:c>
      <x:c r="E4" s="333" t="str">
        <x:v>Result</x:v>
      </x:c>
      <x:c r="F4" s="333" t="str">
        <x:v>Time</x:v>
      </x:c>
      <x:c r="G4" s="333" t="str">
        <x:v>Deaths</x:v>
      </x:c>
      <x:c r="H4" s="333" t="str">
        <x:v>Continues</x:v>
      </x:c>
      <x:c r="I4" s="333" t="str">
        <x:v>Restarts</x:v>
      </x:c>
      <x:c r="J4" s="333" t="str">
        <x:v>Worlds / Levels Completed</x:v>
      </x:c>
      <x:c r="K4" s="333" t="str">
        <x:v>Biggest Time Loss</x:v>
      </x:c>
      <x:c r="L4" s="333" t="str">
        <x:v>Best Decision</x:v>
      </x:c>
      <x:c r="M4" s="333" t="str">
        <x:v>Skill Focus</x:v>
      </x:c>
      <x:c r="N4" s="333" t="str">
        <x:v>Practice Minutes</x:v>
      </x:c>
      <x:c r="O4" s="333" t="str">
        <x:v>Confidence (1–5)</x:v>
      </x:c>
      <x:c r="P4" s="333" t="str">
        <x:v>One Fix Next Time</x:v>
      </x:c>
      <x:c r="Q4" s="334" t="str">
        <x:v>Notes</x:v>
      </x:c>
      <x:c r="R4" s="543" t="str">
        <x:v>Qualifying Run?</x:v>
      </x:c>
      <x:c r="S4" s="544" t="str">
        <x:v>PB Status</x:v>
      </x:c>
    </x:row>
    <x:row r="5" ht="36" customHeight="1">
      <x:c r="A5" s="405"/>
      <x:c r="B5" s="312"/>
      <x:c r="C5" s="312"/>
      <x:c r="D5" s="312"/>
      <x:c r="E5" s="312"/>
      <x:c r="F5" s="406"/>
      <x:c r="G5" s="407"/>
      <x:c r="H5" s="407"/>
      <x:c r="I5" s="407"/>
      <x:c r="J5" s="312"/>
      <x:c r="K5" s="312"/>
      <x:c r="L5" s="312"/>
      <x:c r="M5" s="312"/>
      <x:c r="N5" s="407"/>
      <x:c r="O5" s="407"/>
      <x:c r="P5" s="312"/>
      <x:c r="Q5" s="313"/>
      <x:c r="R5" s="545" t="str">
        <x:f>IF($A5="","",IF(AND($E5="Completed",OR($D5="Full Run",$D5="No-Reset Run",$D5="PB Attempt"),ISNUMBER($F5)),"Yes","No"))</x:f>
      </x:c>
      <x:c r="S5" s="546" t="str">
        <x:f>IF($R5&lt;&gt;"Yes","",IF(COUNTIFS($B$5:$B5,$B5,$R$5:$R5,"Yes",$F$5:$F5,"&lt;"&amp;$F5)=0,IF(COUNTIFS($B$5:$B5,$B5,$R$5:$R5,"Yes",$F$5:$F5,$F5)=1,"NEW PB","TIED PB"),""))</x:f>
      </x:c>
    </x:row>
    <x:row r="6" ht="36" customHeight="1">
      <x:c r="A6" s="408"/>
      <x:c r="B6" s="318"/>
      <x:c r="C6" s="318"/>
      <x:c r="D6" s="318"/>
      <x:c r="E6" s="318"/>
      <x:c r="F6" s="409"/>
      <x:c r="G6" s="410"/>
      <x:c r="H6" s="410"/>
      <x:c r="I6" s="410"/>
      <x:c r="J6" s="318"/>
      <x:c r="K6" s="318"/>
      <x:c r="L6" s="318"/>
      <x:c r="M6" s="318"/>
      <x:c r="N6" s="410"/>
      <x:c r="O6" s="410"/>
      <x:c r="P6" s="318"/>
      <x:c r="Q6" s="319"/>
      <x:c r="R6" s="547" t="str">
        <x:f>IF($A6="","",IF(AND($E6="Completed",OR($D6="Full Run",$D6="No-Reset Run",$D6="PB Attempt"),ISNUMBER($F6)),"Yes","No"))</x:f>
      </x:c>
      <x:c r="S6" s="548" t="str">
        <x:f>IF($R6&lt;&gt;"Yes","",IF(COUNTIFS($B$5:$B6,$B6,$R$5:$R6,"Yes",$F$5:$F6,"&lt;"&amp;$F6)=0,IF(COUNTIFS($B$5:$B6,$B6,$R$5:$R6,"Yes",$F$5:$F6,$F6)=1,"NEW PB","TIED PB"),""))</x:f>
      </x:c>
    </x:row>
    <x:row r="7" ht="36" customHeight="1">
      <x:c r="A7" s="408"/>
      <x:c r="B7" s="318"/>
      <x:c r="C7" s="318"/>
      <x:c r="D7" s="318"/>
      <x:c r="E7" s="318"/>
      <x:c r="F7" s="409"/>
      <x:c r="G7" s="410"/>
      <x:c r="H7" s="410"/>
      <x:c r="I7" s="410"/>
      <x:c r="J7" s="318"/>
      <x:c r="K7" s="318"/>
      <x:c r="L7" s="318"/>
      <x:c r="M7" s="318"/>
      <x:c r="N7" s="410"/>
      <x:c r="O7" s="410"/>
      <x:c r="P7" s="318"/>
      <x:c r="Q7" s="319"/>
      <x:c r="R7" s="547" t="str">
        <x:f>IF($A7="","",IF(AND($E7="Completed",OR($D7="Full Run",$D7="No-Reset Run",$D7="PB Attempt"),ISNUMBER($F7)),"Yes","No"))</x:f>
      </x:c>
      <x:c r="S7" s="548" t="str">
        <x:f>IF($R7&lt;&gt;"Yes","",IF(COUNTIFS($B$5:$B7,$B7,$R$5:$R7,"Yes",$F$5:$F7,"&lt;"&amp;$F7)=0,IF(COUNTIFS($B$5:$B7,$B7,$R$5:$R7,"Yes",$F$5:$F7,$F7)=1,"NEW PB","TIED PB"),""))</x:f>
      </x:c>
    </x:row>
    <x:row r="8" ht="36" customHeight="1">
      <x:c r="A8" s="408"/>
      <x:c r="B8" s="318"/>
      <x:c r="C8" s="318"/>
      <x:c r="D8" s="318"/>
      <x:c r="E8" s="318"/>
      <x:c r="F8" s="409"/>
      <x:c r="G8" s="410"/>
      <x:c r="H8" s="410"/>
      <x:c r="I8" s="410"/>
      <x:c r="J8" s="318"/>
      <x:c r="K8" s="318"/>
      <x:c r="L8" s="318"/>
      <x:c r="M8" s="318"/>
      <x:c r="N8" s="410"/>
      <x:c r="O8" s="410"/>
      <x:c r="P8" s="318"/>
      <x:c r="Q8" s="319"/>
      <x:c r="R8" s="547" t="str">
        <x:f>IF($A8="","",IF(AND($E8="Completed",OR($D8="Full Run",$D8="No-Reset Run",$D8="PB Attempt"),ISNUMBER($F8)),"Yes","No"))</x:f>
      </x:c>
      <x:c r="S8" s="548" t="str">
        <x:f>IF($R8&lt;&gt;"Yes","",IF(COUNTIFS($B$5:$B8,$B8,$R$5:$R8,"Yes",$F$5:$F8,"&lt;"&amp;$F8)=0,IF(COUNTIFS($B$5:$B8,$B8,$R$5:$R8,"Yes",$F$5:$F8,$F8)=1,"NEW PB","TIED PB"),""))</x:f>
      </x:c>
    </x:row>
    <x:row r="9" ht="36" customHeight="1">
      <x:c r="A9" s="408"/>
      <x:c r="B9" s="318"/>
      <x:c r="C9" s="318"/>
      <x:c r="D9" s="318"/>
      <x:c r="E9" s="318"/>
      <x:c r="F9" s="409"/>
      <x:c r="G9" s="410"/>
      <x:c r="H9" s="410"/>
      <x:c r="I9" s="410"/>
      <x:c r="J9" s="318"/>
      <x:c r="K9" s="318"/>
      <x:c r="L9" s="318"/>
      <x:c r="M9" s="318"/>
      <x:c r="N9" s="410"/>
      <x:c r="O9" s="410"/>
      <x:c r="P9" s="318"/>
      <x:c r="Q9" s="319"/>
      <x:c r="R9" s="547" t="str">
        <x:f>IF($A9="","",IF(AND($E9="Completed",OR($D9="Full Run",$D9="No-Reset Run",$D9="PB Attempt"),ISNUMBER($F9)),"Yes","No"))</x:f>
      </x:c>
      <x:c r="S9" s="548" t="str">
        <x:f>IF($R9&lt;&gt;"Yes","",IF(COUNTIFS($B$5:$B9,$B9,$R$5:$R9,"Yes",$F$5:$F9,"&lt;"&amp;$F9)=0,IF(COUNTIFS($B$5:$B9,$B9,$R$5:$R9,"Yes",$F$5:$F9,$F9)=1,"NEW PB","TIED PB"),""))</x:f>
      </x:c>
    </x:row>
    <x:row r="10" ht="36" customHeight="1">
      <x:c r="A10" s="408"/>
      <x:c r="B10" s="318"/>
      <x:c r="C10" s="318"/>
      <x:c r="D10" s="318"/>
      <x:c r="E10" s="318"/>
      <x:c r="F10" s="409"/>
      <x:c r="G10" s="410"/>
      <x:c r="H10" s="410"/>
      <x:c r="I10" s="410"/>
      <x:c r="J10" s="318"/>
      <x:c r="K10" s="318"/>
      <x:c r="L10" s="318"/>
      <x:c r="M10" s="318"/>
      <x:c r="N10" s="410"/>
      <x:c r="O10" s="410"/>
      <x:c r="P10" s="318"/>
      <x:c r="Q10" s="319"/>
      <x:c r="R10" s="547" t="str">
        <x:f>IF($A10="","",IF(AND($E10="Completed",OR($D10="Full Run",$D10="No-Reset Run",$D10="PB Attempt"),ISNUMBER($F10)),"Yes","No"))</x:f>
      </x:c>
      <x:c r="S10" s="548" t="str">
        <x:f>IF($R10&lt;&gt;"Yes","",IF(COUNTIFS($B$5:$B10,$B10,$R$5:$R10,"Yes",$F$5:$F10,"&lt;"&amp;$F10)=0,IF(COUNTIFS($B$5:$B10,$B10,$R$5:$R10,"Yes",$F$5:$F10,$F10)=1,"NEW PB","TIED PB"),""))</x:f>
      </x:c>
    </x:row>
    <x:row r="11" ht="36" customHeight="1">
      <x:c r="A11" s="408"/>
      <x:c r="B11" s="318"/>
      <x:c r="C11" s="318"/>
      <x:c r="D11" s="318"/>
      <x:c r="E11" s="318"/>
      <x:c r="F11" s="409"/>
      <x:c r="G11" s="410"/>
      <x:c r="H11" s="410"/>
      <x:c r="I11" s="410"/>
      <x:c r="J11" s="318"/>
      <x:c r="K11" s="318"/>
      <x:c r="L11" s="318"/>
      <x:c r="M11" s="318"/>
      <x:c r="N11" s="410"/>
      <x:c r="O11" s="410"/>
      <x:c r="P11" s="318"/>
      <x:c r="Q11" s="319"/>
      <x:c r="R11" s="547" t="str">
        <x:f>IF($A11="","",IF(AND($E11="Completed",OR($D11="Full Run",$D11="No-Reset Run",$D11="PB Attempt"),ISNUMBER($F11)),"Yes","No"))</x:f>
      </x:c>
      <x:c r="S11" s="548" t="str">
        <x:f>IF($R11&lt;&gt;"Yes","",IF(COUNTIFS($B$5:$B11,$B11,$R$5:$R11,"Yes",$F$5:$F11,"&lt;"&amp;$F11)=0,IF(COUNTIFS($B$5:$B11,$B11,$R$5:$R11,"Yes",$F$5:$F11,$F11)=1,"NEW PB","TIED PB"),""))</x:f>
      </x:c>
    </x:row>
    <x:row r="12" ht="36" customHeight="1">
      <x:c r="A12" s="408"/>
      <x:c r="B12" s="318"/>
      <x:c r="C12" s="318"/>
      <x:c r="D12" s="318"/>
      <x:c r="E12" s="318"/>
      <x:c r="F12" s="409"/>
      <x:c r="G12" s="410"/>
      <x:c r="H12" s="410"/>
      <x:c r="I12" s="410"/>
      <x:c r="J12" s="318"/>
      <x:c r="K12" s="318"/>
      <x:c r="L12" s="318"/>
      <x:c r="M12" s="318"/>
      <x:c r="N12" s="410"/>
      <x:c r="O12" s="410"/>
      <x:c r="P12" s="318"/>
      <x:c r="Q12" s="319"/>
      <x:c r="R12" s="547" t="str">
        <x:f>IF($A12="","",IF(AND($E12="Completed",OR($D12="Full Run",$D12="No-Reset Run",$D12="PB Attempt"),ISNUMBER($F12)),"Yes","No"))</x:f>
      </x:c>
      <x:c r="S12" s="548" t="str">
        <x:f>IF($R12&lt;&gt;"Yes","",IF(COUNTIFS($B$5:$B12,$B12,$R$5:$R12,"Yes",$F$5:$F12,"&lt;"&amp;$F12)=0,IF(COUNTIFS($B$5:$B12,$B12,$R$5:$R12,"Yes",$F$5:$F12,$F12)=1,"NEW PB","TIED PB"),""))</x:f>
      </x:c>
    </x:row>
    <x:row r="13" ht="36" customHeight="1">
      <x:c r="A13" s="408"/>
      <x:c r="B13" s="318"/>
      <x:c r="C13" s="318"/>
      <x:c r="D13" s="318"/>
      <x:c r="E13" s="318"/>
      <x:c r="F13" s="409"/>
      <x:c r="G13" s="410"/>
      <x:c r="H13" s="410"/>
      <x:c r="I13" s="410"/>
      <x:c r="J13" s="318"/>
      <x:c r="K13" s="318"/>
      <x:c r="L13" s="318"/>
      <x:c r="M13" s="318"/>
      <x:c r="N13" s="410"/>
      <x:c r="O13" s="410"/>
      <x:c r="P13" s="318"/>
      <x:c r="Q13" s="319"/>
      <x:c r="R13" s="547" t="str">
        <x:f>IF($A13="","",IF(AND($E13="Completed",OR($D13="Full Run",$D13="No-Reset Run",$D13="PB Attempt"),ISNUMBER($F13)),"Yes","No"))</x:f>
      </x:c>
      <x:c r="S13" s="548" t="str">
        <x:f>IF($R13&lt;&gt;"Yes","",IF(COUNTIFS($B$5:$B13,$B13,$R$5:$R13,"Yes",$F$5:$F13,"&lt;"&amp;$F13)=0,IF(COUNTIFS($B$5:$B13,$B13,$R$5:$R13,"Yes",$F$5:$F13,$F13)=1,"NEW PB","TIED PB"),""))</x:f>
      </x:c>
    </x:row>
    <x:row r="14" ht="36" customHeight="1">
      <x:c r="A14" s="408"/>
      <x:c r="B14" s="318"/>
      <x:c r="C14" s="318"/>
      <x:c r="D14" s="318"/>
      <x:c r="E14" s="318"/>
      <x:c r="F14" s="409"/>
      <x:c r="G14" s="410"/>
      <x:c r="H14" s="410"/>
      <x:c r="I14" s="410"/>
      <x:c r="J14" s="318"/>
      <x:c r="K14" s="318"/>
      <x:c r="L14" s="318"/>
      <x:c r="M14" s="318"/>
      <x:c r="N14" s="410"/>
      <x:c r="O14" s="410"/>
      <x:c r="P14" s="318"/>
      <x:c r="Q14" s="319"/>
      <x:c r="R14" s="547" t="str">
        <x:f>IF($A14="","",IF(AND($E14="Completed",OR($D14="Full Run",$D14="No-Reset Run",$D14="PB Attempt"),ISNUMBER($F14)),"Yes","No"))</x:f>
      </x:c>
      <x:c r="S14" s="548" t="str">
        <x:f>IF($R14&lt;&gt;"Yes","",IF(COUNTIFS($B$5:$B14,$B14,$R$5:$R14,"Yes",$F$5:$F14,"&lt;"&amp;$F14)=0,IF(COUNTIFS($B$5:$B14,$B14,$R$5:$R14,"Yes",$F$5:$F14,$F14)=1,"NEW PB","TIED PB"),""))</x:f>
      </x:c>
    </x:row>
    <x:row r="15" ht="36" customHeight="1">
      <x:c r="A15" s="408"/>
      <x:c r="B15" s="318"/>
      <x:c r="C15" s="318"/>
      <x:c r="D15" s="318"/>
      <x:c r="E15" s="318"/>
      <x:c r="F15" s="409"/>
      <x:c r="G15" s="410"/>
      <x:c r="H15" s="410"/>
      <x:c r="I15" s="410"/>
      <x:c r="J15" s="318"/>
      <x:c r="K15" s="318"/>
      <x:c r="L15" s="318"/>
      <x:c r="M15" s="318"/>
      <x:c r="N15" s="410"/>
      <x:c r="O15" s="410"/>
      <x:c r="P15" s="318"/>
      <x:c r="Q15" s="319"/>
      <x:c r="R15" s="547" t="str">
        <x:f>IF($A15="","",IF(AND($E15="Completed",OR($D15="Full Run",$D15="No-Reset Run",$D15="PB Attempt"),ISNUMBER($F15)),"Yes","No"))</x:f>
      </x:c>
      <x:c r="S15" s="548" t="str">
        <x:f>IF($R15&lt;&gt;"Yes","",IF(COUNTIFS($B$5:$B15,$B15,$R$5:$R15,"Yes",$F$5:$F15,"&lt;"&amp;$F15)=0,IF(COUNTIFS($B$5:$B15,$B15,$R$5:$R15,"Yes",$F$5:$F15,$F15)=1,"NEW PB","TIED PB"),""))</x:f>
      </x:c>
    </x:row>
    <x:row r="16" ht="36" customHeight="1">
      <x:c r="A16" s="408"/>
      <x:c r="B16" s="318"/>
      <x:c r="C16" s="318"/>
      <x:c r="D16" s="318"/>
      <x:c r="E16" s="318"/>
      <x:c r="F16" s="409"/>
      <x:c r="G16" s="410"/>
      <x:c r="H16" s="410"/>
      <x:c r="I16" s="410"/>
      <x:c r="J16" s="318"/>
      <x:c r="K16" s="318"/>
      <x:c r="L16" s="318"/>
      <x:c r="M16" s="318"/>
      <x:c r="N16" s="410"/>
      <x:c r="O16" s="410"/>
      <x:c r="P16" s="318"/>
      <x:c r="Q16" s="319"/>
      <x:c r="R16" s="547" t="str">
        <x:f>IF($A16="","",IF(AND($E16="Completed",OR($D16="Full Run",$D16="No-Reset Run",$D16="PB Attempt"),ISNUMBER($F16)),"Yes","No"))</x:f>
      </x:c>
      <x:c r="S16" s="548" t="str">
        <x:f>IF($R16&lt;&gt;"Yes","",IF(COUNTIFS($B$5:$B16,$B16,$R$5:$R16,"Yes",$F$5:$F16,"&lt;"&amp;$F16)=0,IF(COUNTIFS($B$5:$B16,$B16,$R$5:$R16,"Yes",$F$5:$F16,$F16)=1,"NEW PB","TIED PB"),""))</x:f>
      </x:c>
    </x:row>
    <x:row r="17" ht="36" customHeight="1">
      <x:c r="A17" s="408"/>
      <x:c r="B17" s="318"/>
      <x:c r="C17" s="318"/>
      <x:c r="D17" s="318"/>
      <x:c r="E17" s="318"/>
      <x:c r="F17" s="409"/>
      <x:c r="G17" s="410"/>
      <x:c r="H17" s="410"/>
      <x:c r="I17" s="410"/>
      <x:c r="J17" s="318"/>
      <x:c r="K17" s="318"/>
      <x:c r="L17" s="318"/>
      <x:c r="M17" s="318"/>
      <x:c r="N17" s="410"/>
      <x:c r="O17" s="410"/>
      <x:c r="P17" s="318"/>
      <x:c r="Q17" s="319"/>
      <x:c r="R17" s="547" t="str">
        <x:f>IF($A17="","",IF(AND($E17="Completed",OR($D17="Full Run",$D17="No-Reset Run",$D17="PB Attempt"),ISNUMBER($F17)),"Yes","No"))</x:f>
      </x:c>
      <x:c r="S17" s="548" t="str">
        <x:f>IF($R17&lt;&gt;"Yes","",IF(COUNTIFS($B$5:$B17,$B17,$R$5:$R17,"Yes",$F$5:$F17,"&lt;"&amp;$F17)=0,IF(COUNTIFS($B$5:$B17,$B17,$R$5:$R17,"Yes",$F$5:$F17,$F17)=1,"NEW PB","TIED PB"),""))</x:f>
      </x:c>
    </x:row>
    <x:row r="18" ht="36" customHeight="1">
      <x:c r="A18" s="408"/>
      <x:c r="B18" s="318"/>
      <x:c r="C18" s="318"/>
      <x:c r="D18" s="318"/>
      <x:c r="E18" s="318"/>
      <x:c r="F18" s="409"/>
      <x:c r="G18" s="410"/>
      <x:c r="H18" s="410"/>
      <x:c r="I18" s="410"/>
      <x:c r="J18" s="318"/>
      <x:c r="K18" s="318"/>
      <x:c r="L18" s="318"/>
      <x:c r="M18" s="318"/>
      <x:c r="N18" s="410"/>
      <x:c r="O18" s="410"/>
      <x:c r="P18" s="318"/>
      <x:c r="Q18" s="319"/>
      <x:c r="R18" s="547" t="str">
        <x:f>IF($A18="","",IF(AND($E18="Completed",OR($D18="Full Run",$D18="No-Reset Run",$D18="PB Attempt"),ISNUMBER($F18)),"Yes","No"))</x:f>
      </x:c>
      <x:c r="S18" s="548" t="str">
        <x:f>IF($R18&lt;&gt;"Yes","",IF(COUNTIFS($B$5:$B18,$B18,$R$5:$R18,"Yes",$F$5:$F18,"&lt;"&amp;$F18)=0,IF(COUNTIFS($B$5:$B18,$B18,$R$5:$R18,"Yes",$F$5:$F18,$F18)=1,"NEW PB","TIED PB"),""))</x:f>
      </x:c>
    </x:row>
    <x:row r="19" ht="36" customHeight="1">
      <x:c r="A19" s="408"/>
      <x:c r="B19" s="318"/>
      <x:c r="C19" s="318"/>
      <x:c r="D19" s="318"/>
      <x:c r="E19" s="318"/>
      <x:c r="F19" s="409"/>
      <x:c r="G19" s="410"/>
      <x:c r="H19" s="410"/>
      <x:c r="I19" s="410"/>
      <x:c r="J19" s="318"/>
      <x:c r="K19" s="318"/>
      <x:c r="L19" s="318"/>
      <x:c r="M19" s="318"/>
      <x:c r="N19" s="410"/>
      <x:c r="O19" s="410"/>
      <x:c r="P19" s="318"/>
      <x:c r="Q19" s="319"/>
      <x:c r="R19" s="547" t="str">
        <x:f>IF($A19="","",IF(AND($E19="Completed",OR($D19="Full Run",$D19="No-Reset Run",$D19="PB Attempt"),ISNUMBER($F19)),"Yes","No"))</x:f>
      </x:c>
      <x:c r="S19" s="548" t="str">
        <x:f>IF($R19&lt;&gt;"Yes","",IF(COUNTIFS($B$5:$B19,$B19,$R$5:$R19,"Yes",$F$5:$F19,"&lt;"&amp;$F19)=0,IF(COUNTIFS($B$5:$B19,$B19,$R$5:$R19,"Yes",$F$5:$F19,$F19)=1,"NEW PB","TIED PB"),""))</x:f>
      </x:c>
    </x:row>
    <x:row r="20" ht="36" customHeight="1">
      <x:c r="A20" s="408"/>
      <x:c r="B20" s="318"/>
      <x:c r="C20" s="318"/>
      <x:c r="D20" s="318"/>
      <x:c r="E20" s="318"/>
      <x:c r="F20" s="409"/>
      <x:c r="G20" s="410"/>
      <x:c r="H20" s="410"/>
      <x:c r="I20" s="410"/>
      <x:c r="J20" s="318"/>
      <x:c r="K20" s="318"/>
      <x:c r="L20" s="318"/>
      <x:c r="M20" s="318"/>
      <x:c r="N20" s="410"/>
      <x:c r="O20" s="410"/>
      <x:c r="P20" s="318"/>
      <x:c r="Q20" s="319"/>
      <x:c r="R20" s="547" t="str">
        <x:f>IF($A20="","",IF(AND($E20="Completed",OR($D20="Full Run",$D20="No-Reset Run",$D20="PB Attempt"),ISNUMBER($F20)),"Yes","No"))</x:f>
      </x:c>
      <x:c r="S20" s="548" t="str">
        <x:f>IF($R20&lt;&gt;"Yes","",IF(COUNTIFS($B$5:$B20,$B20,$R$5:$R20,"Yes",$F$5:$F20,"&lt;"&amp;$F20)=0,IF(COUNTIFS($B$5:$B20,$B20,$R$5:$R20,"Yes",$F$5:$F20,$F20)=1,"NEW PB","TIED PB"),""))</x:f>
      </x:c>
    </x:row>
    <x:row r="21" ht="36" customHeight="1">
      <x:c r="A21" s="408"/>
      <x:c r="B21" s="318"/>
      <x:c r="C21" s="318"/>
      <x:c r="D21" s="318"/>
      <x:c r="E21" s="318"/>
      <x:c r="F21" s="409"/>
      <x:c r="G21" s="410"/>
      <x:c r="H21" s="410"/>
      <x:c r="I21" s="410"/>
      <x:c r="J21" s="318"/>
      <x:c r="K21" s="318"/>
      <x:c r="L21" s="318"/>
      <x:c r="M21" s="318"/>
      <x:c r="N21" s="410"/>
      <x:c r="O21" s="410"/>
      <x:c r="P21" s="318"/>
      <x:c r="Q21" s="319"/>
      <x:c r="R21" s="547" t="str">
        <x:f>IF($A21="","",IF(AND($E21="Completed",OR($D21="Full Run",$D21="No-Reset Run",$D21="PB Attempt"),ISNUMBER($F21)),"Yes","No"))</x:f>
      </x:c>
      <x:c r="S21" s="548" t="str">
        <x:f>IF($R21&lt;&gt;"Yes","",IF(COUNTIFS($B$5:$B21,$B21,$R$5:$R21,"Yes",$F$5:$F21,"&lt;"&amp;$F21)=0,IF(COUNTIFS($B$5:$B21,$B21,$R$5:$R21,"Yes",$F$5:$F21,$F21)=1,"NEW PB","TIED PB"),""))</x:f>
      </x:c>
    </x:row>
    <x:row r="22" ht="36" customHeight="1">
      <x:c r="A22" s="408"/>
      <x:c r="B22" s="318"/>
      <x:c r="C22" s="318"/>
      <x:c r="D22" s="318"/>
      <x:c r="E22" s="318"/>
      <x:c r="F22" s="409"/>
      <x:c r="G22" s="410"/>
      <x:c r="H22" s="410"/>
      <x:c r="I22" s="410"/>
      <x:c r="J22" s="318"/>
      <x:c r="K22" s="318"/>
      <x:c r="L22" s="318"/>
      <x:c r="M22" s="318"/>
      <x:c r="N22" s="410"/>
      <x:c r="O22" s="410"/>
      <x:c r="P22" s="318"/>
      <x:c r="Q22" s="319"/>
      <x:c r="R22" s="547" t="str">
        <x:f>IF($A22="","",IF(AND($E22="Completed",OR($D22="Full Run",$D22="No-Reset Run",$D22="PB Attempt"),ISNUMBER($F22)),"Yes","No"))</x:f>
      </x:c>
      <x:c r="S22" s="548" t="str">
        <x:f>IF($R22&lt;&gt;"Yes","",IF(COUNTIFS($B$5:$B22,$B22,$R$5:$R22,"Yes",$F$5:$F22,"&lt;"&amp;$F22)=0,IF(COUNTIFS($B$5:$B22,$B22,$R$5:$R22,"Yes",$F$5:$F22,$F22)=1,"NEW PB","TIED PB"),""))</x:f>
      </x:c>
    </x:row>
    <x:row r="23" ht="36" customHeight="1">
      <x:c r="A23" s="408"/>
      <x:c r="B23" s="318"/>
      <x:c r="C23" s="318"/>
      <x:c r="D23" s="318"/>
      <x:c r="E23" s="318"/>
      <x:c r="F23" s="409"/>
      <x:c r="G23" s="410"/>
      <x:c r="H23" s="410"/>
      <x:c r="I23" s="410"/>
      <x:c r="J23" s="318"/>
      <x:c r="K23" s="318"/>
      <x:c r="L23" s="318"/>
      <x:c r="M23" s="318"/>
      <x:c r="N23" s="410"/>
      <x:c r="O23" s="410"/>
      <x:c r="P23" s="318"/>
      <x:c r="Q23" s="319"/>
      <x:c r="R23" s="547" t="str">
        <x:f>IF($A23="","",IF(AND($E23="Completed",OR($D23="Full Run",$D23="No-Reset Run",$D23="PB Attempt"),ISNUMBER($F23)),"Yes","No"))</x:f>
      </x:c>
      <x:c r="S23" s="548" t="str">
        <x:f>IF($R23&lt;&gt;"Yes","",IF(COUNTIFS($B$5:$B23,$B23,$R$5:$R23,"Yes",$F$5:$F23,"&lt;"&amp;$F23)=0,IF(COUNTIFS($B$5:$B23,$B23,$R$5:$R23,"Yes",$F$5:$F23,$F23)=1,"NEW PB","TIED PB"),""))</x:f>
      </x:c>
    </x:row>
    <x:row r="24" ht="36" customHeight="1">
      <x:c r="A24" s="408"/>
      <x:c r="B24" s="318"/>
      <x:c r="C24" s="318"/>
      <x:c r="D24" s="318"/>
      <x:c r="E24" s="318"/>
      <x:c r="F24" s="409"/>
      <x:c r="G24" s="410"/>
      <x:c r="H24" s="410"/>
      <x:c r="I24" s="410"/>
      <x:c r="J24" s="318"/>
      <x:c r="K24" s="318"/>
      <x:c r="L24" s="318"/>
      <x:c r="M24" s="318"/>
      <x:c r="N24" s="410"/>
      <x:c r="O24" s="410"/>
      <x:c r="P24" s="318"/>
      <x:c r="Q24" s="319"/>
      <x:c r="R24" s="547" t="str">
        <x:f>IF($A24="","",IF(AND($E24="Completed",OR($D24="Full Run",$D24="No-Reset Run",$D24="PB Attempt"),ISNUMBER($F24)),"Yes","No"))</x:f>
      </x:c>
      <x:c r="S24" s="548" t="str">
        <x:f>IF($R24&lt;&gt;"Yes","",IF(COUNTIFS($B$5:$B24,$B24,$R$5:$R24,"Yes",$F$5:$F24,"&lt;"&amp;$F24)=0,IF(COUNTIFS($B$5:$B24,$B24,$R$5:$R24,"Yes",$F$5:$F24,$F24)=1,"NEW PB","TIED PB"),""))</x:f>
      </x:c>
    </x:row>
    <x:row r="25" ht="36" customHeight="1">
      <x:c r="A25" s="408"/>
      <x:c r="B25" s="318"/>
      <x:c r="C25" s="318"/>
      <x:c r="D25" s="318"/>
      <x:c r="E25" s="318"/>
      <x:c r="F25" s="409"/>
      <x:c r="G25" s="410"/>
      <x:c r="H25" s="410"/>
      <x:c r="I25" s="410"/>
      <x:c r="J25" s="318"/>
      <x:c r="K25" s="318"/>
      <x:c r="L25" s="318"/>
      <x:c r="M25" s="318"/>
      <x:c r="N25" s="410"/>
      <x:c r="O25" s="410"/>
      <x:c r="P25" s="318"/>
      <x:c r="Q25" s="319"/>
      <x:c r="R25" s="547" t="str">
        <x:f>IF($A25="","",IF(AND($E25="Completed",OR($D25="Full Run",$D25="No-Reset Run",$D25="PB Attempt"),ISNUMBER($F25)),"Yes","No"))</x:f>
      </x:c>
      <x:c r="S25" s="548" t="str">
        <x:f>IF($R25&lt;&gt;"Yes","",IF(COUNTIFS($B$5:$B25,$B25,$R$5:$R25,"Yes",$F$5:$F25,"&lt;"&amp;$F25)=0,IF(COUNTIFS($B$5:$B25,$B25,$R$5:$R25,"Yes",$F$5:$F25,$F25)=1,"NEW PB","TIED PB"),""))</x:f>
      </x:c>
    </x:row>
    <x:row r="26" ht="36" customHeight="1">
      <x:c r="A26" s="408"/>
      <x:c r="B26" s="318"/>
      <x:c r="C26" s="318"/>
      <x:c r="D26" s="318"/>
      <x:c r="E26" s="318"/>
      <x:c r="F26" s="409"/>
      <x:c r="G26" s="410"/>
      <x:c r="H26" s="410"/>
      <x:c r="I26" s="410"/>
      <x:c r="J26" s="318"/>
      <x:c r="K26" s="318"/>
      <x:c r="L26" s="318"/>
      <x:c r="M26" s="318"/>
      <x:c r="N26" s="410"/>
      <x:c r="O26" s="410"/>
      <x:c r="P26" s="318"/>
      <x:c r="Q26" s="319"/>
      <x:c r="R26" s="547" t="str">
        <x:f>IF($A26="","",IF(AND($E26="Completed",OR($D26="Full Run",$D26="No-Reset Run",$D26="PB Attempt"),ISNUMBER($F26)),"Yes","No"))</x:f>
      </x:c>
      <x:c r="S26" s="548" t="str">
        <x:f>IF($R26&lt;&gt;"Yes","",IF(COUNTIFS($B$5:$B26,$B26,$R$5:$R26,"Yes",$F$5:$F26,"&lt;"&amp;$F26)=0,IF(COUNTIFS($B$5:$B26,$B26,$R$5:$R26,"Yes",$F$5:$F26,$F26)=1,"NEW PB","TIED PB"),""))</x:f>
      </x:c>
    </x:row>
    <x:row r="27" ht="36" customHeight="1">
      <x:c r="A27" s="408"/>
      <x:c r="B27" s="318"/>
      <x:c r="C27" s="318"/>
      <x:c r="D27" s="318"/>
      <x:c r="E27" s="318"/>
      <x:c r="F27" s="409"/>
      <x:c r="G27" s="410"/>
      <x:c r="H27" s="410"/>
      <x:c r="I27" s="410"/>
      <x:c r="J27" s="318"/>
      <x:c r="K27" s="318"/>
      <x:c r="L27" s="318"/>
      <x:c r="M27" s="318"/>
      <x:c r="N27" s="410"/>
      <x:c r="O27" s="410"/>
      <x:c r="P27" s="318"/>
      <x:c r="Q27" s="319"/>
      <x:c r="R27" s="547" t="str">
        <x:f>IF($A27="","",IF(AND($E27="Completed",OR($D27="Full Run",$D27="No-Reset Run",$D27="PB Attempt"),ISNUMBER($F27)),"Yes","No"))</x:f>
      </x:c>
      <x:c r="S27" s="548" t="str">
        <x:f>IF($R27&lt;&gt;"Yes","",IF(COUNTIFS($B$5:$B27,$B27,$R$5:$R27,"Yes",$F$5:$F27,"&lt;"&amp;$F27)=0,IF(COUNTIFS($B$5:$B27,$B27,$R$5:$R27,"Yes",$F$5:$F27,$F27)=1,"NEW PB","TIED PB"),""))</x:f>
      </x:c>
    </x:row>
    <x:row r="28" ht="36" customHeight="1">
      <x:c r="A28" s="408"/>
      <x:c r="B28" s="318"/>
      <x:c r="C28" s="318"/>
      <x:c r="D28" s="318"/>
      <x:c r="E28" s="318"/>
      <x:c r="F28" s="409"/>
      <x:c r="G28" s="410"/>
      <x:c r="H28" s="410"/>
      <x:c r="I28" s="410"/>
      <x:c r="J28" s="318"/>
      <x:c r="K28" s="318"/>
      <x:c r="L28" s="318"/>
      <x:c r="M28" s="318"/>
      <x:c r="N28" s="410"/>
      <x:c r="O28" s="410"/>
      <x:c r="P28" s="318"/>
      <x:c r="Q28" s="319"/>
      <x:c r="R28" s="547" t="str">
        <x:f>IF($A28="","",IF(AND($E28="Completed",OR($D28="Full Run",$D28="No-Reset Run",$D28="PB Attempt"),ISNUMBER($F28)),"Yes","No"))</x:f>
      </x:c>
      <x:c r="S28" s="548" t="str">
        <x:f>IF($R28&lt;&gt;"Yes","",IF(COUNTIFS($B$5:$B28,$B28,$R$5:$R28,"Yes",$F$5:$F28,"&lt;"&amp;$F28)=0,IF(COUNTIFS($B$5:$B28,$B28,$R$5:$R28,"Yes",$F$5:$F28,$F28)=1,"NEW PB","TIED PB"),""))</x:f>
      </x:c>
    </x:row>
    <x:row r="29" ht="36" customHeight="1">
      <x:c r="A29" s="408"/>
      <x:c r="B29" s="318"/>
      <x:c r="C29" s="318"/>
      <x:c r="D29" s="318"/>
      <x:c r="E29" s="318"/>
      <x:c r="F29" s="409"/>
      <x:c r="G29" s="410"/>
      <x:c r="H29" s="410"/>
      <x:c r="I29" s="410"/>
      <x:c r="J29" s="318"/>
      <x:c r="K29" s="318"/>
      <x:c r="L29" s="318"/>
      <x:c r="M29" s="318"/>
      <x:c r="N29" s="410"/>
      <x:c r="O29" s="410"/>
      <x:c r="P29" s="318"/>
      <x:c r="Q29" s="319"/>
      <x:c r="R29" s="547" t="str">
        <x:f>IF($A29="","",IF(AND($E29="Completed",OR($D29="Full Run",$D29="No-Reset Run",$D29="PB Attempt"),ISNUMBER($F29)),"Yes","No"))</x:f>
      </x:c>
      <x:c r="S29" s="548" t="str">
        <x:f>IF($R29&lt;&gt;"Yes","",IF(COUNTIFS($B$5:$B29,$B29,$R$5:$R29,"Yes",$F$5:$F29,"&lt;"&amp;$F29)=0,IF(COUNTIFS($B$5:$B29,$B29,$R$5:$R29,"Yes",$F$5:$F29,$F29)=1,"NEW PB","TIED PB"),""))</x:f>
      </x:c>
    </x:row>
    <x:row r="30" ht="36" customHeight="1">
      <x:c r="A30" s="408"/>
      <x:c r="B30" s="318"/>
      <x:c r="C30" s="318"/>
      <x:c r="D30" s="318"/>
      <x:c r="E30" s="318"/>
      <x:c r="F30" s="409"/>
      <x:c r="G30" s="410"/>
      <x:c r="H30" s="410"/>
      <x:c r="I30" s="410"/>
      <x:c r="J30" s="318"/>
      <x:c r="K30" s="318"/>
      <x:c r="L30" s="318"/>
      <x:c r="M30" s="318"/>
      <x:c r="N30" s="410"/>
      <x:c r="O30" s="410"/>
      <x:c r="P30" s="318"/>
      <x:c r="Q30" s="319"/>
      <x:c r="R30" s="547" t="str">
        <x:f>IF($A30="","",IF(AND($E30="Completed",OR($D30="Full Run",$D30="No-Reset Run",$D30="PB Attempt"),ISNUMBER($F30)),"Yes","No"))</x:f>
      </x:c>
      <x:c r="S30" s="548" t="str">
        <x:f>IF($R30&lt;&gt;"Yes","",IF(COUNTIFS($B$5:$B30,$B30,$R$5:$R30,"Yes",$F$5:$F30,"&lt;"&amp;$F30)=0,IF(COUNTIFS($B$5:$B30,$B30,$R$5:$R30,"Yes",$F$5:$F30,$F30)=1,"NEW PB","TIED PB"),""))</x:f>
      </x:c>
    </x:row>
    <x:row r="31" ht="36" customHeight="1">
      <x:c r="A31" s="408"/>
      <x:c r="B31" s="318"/>
      <x:c r="C31" s="318"/>
      <x:c r="D31" s="318"/>
      <x:c r="E31" s="318"/>
      <x:c r="F31" s="409"/>
      <x:c r="G31" s="410"/>
      <x:c r="H31" s="410"/>
      <x:c r="I31" s="410"/>
      <x:c r="J31" s="318"/>
      <x:c r="K31" s="318"/>
      <x:c r="L31" s="318"/>
      <x:c r="M31" s="318"/>
      <x:c r="N31" s="410"/>
      <x:c r="O31" s="410"/>
      <x:c r="P31" s="318"/>
      <x:c r="Q31" s="319"/>
      <x:c r="R31" s="547" t="str">
        <x:f>IF($A31="","",IF(AND($E31="Completed",OR($D31="Full Run",$D31="No-Reset Run",$D31="PB Attempt"),ISNUMBER($F31)),"Yes","No"))</x:f>
      </x:c>
      <x:c r="S31" s="548" t="str">
        <x:f>IF($R31&lt;&gt;"Yes","",IF(COUNTIFS($B$5:$B31,$B31,$R$5:$R31,"Yes",$F$5:$F31,"&lt;"&amp;$F31)=0,IF(COUNTIFS($B$5:$B31,$B31,$R$5:$R31,"Yes",$F$5:$F31,$F31)=1,"NEW PB","TIED PB"),""))</x:f>
      </x:c>
    </x:row>
    <x:row r="32" ht="36" customHeight="1">
      <x:c r="A32" s="408"/>
      <x:c r="B32" s="318"/>
      <x:c r="C32" s="318"/>
      <x:c r="D32" s="318"/>
      <x:c r="E32" s="318"/>
      <x:c r="F32" s="409"/>
      <x:c r="G32" s="410"/>
      <x:c r="H32" s="410"/>
      <x:c r="I32" s="410"/>
      <x:c r="J32" s="318"/>
      <x:c r="K32" s="318"/>
      <x:c r="L32" s="318"/>
      <x:c r="M32" s="318"/>
      <x:c r="N32" s="410"/>
      <x:c r="O32" s="410"/>
      <x:c r="P32" s="318"/>
      <x:c r="Q32" s="319"/>
      <x:c r="R32" s="547" t="str">
        <x:f>IF($A32="","",IF(AND($E32="Completed",OR($D32="Full Run",$D32="No-Reset Run",$D32="PB Attempt"),ISNUMBER($F32)),"Yes","No"))</x:f>
      </x:c>
      <x:c r="S32" s="548" t="str">
        <x:f>IF($R32&lt;&gt;"Yes","",IF(COUNTIFS($B$5:$B32,$B32,$R$5:$R32,"Yes",$F$5:$F32,"&lt;"&amp;$F32)=0,IF(COUNTIFS($B$5:$B32,$B32,$R$5:$R32,"Yes",$F$5:$F32,$F32)=1,"NEW PB","TIED PB"),""))</x:f>
      </x:c>
    </x:row>
    <x:row r="33" ht="36" customHeight="1">
      <x:c r="A33" s="408"/>
      <x:c r="B33" s="318"/>
      <x:c r="C33" s="318"/>
      <x:c r="D33" s="318"/>
      <x:c r="E33" s="318"/>
      <x:c r="F33" s="409"/>
      <x:c r="G33" s="410"/>
      <x:c r="H33" s="410"/>
      <x:c r="I33" s="410"/>
      <x:c r="J33" s="318"/>
      <x:c r="K33" s="318"/>
      <x:c r="L33" s="318"/>
      <x:c r="M33" s="318"/>
      <x:c r="N33" s="410"/>
      <x:c r="O33" s="410"/>
      <x:c r="P33" s="318"/>
      <x:c r="Q33" s="319"/>
      <x:c r="R33" s="547" t="str">
        <x:f>IF($A33="","",IF(AND($E33="Completed",OR($D33="Full Run",$D33="No-Reset Run",$D33="PB Attempt"),ISNUMBER($F33)),"Yes","No"))</x:f>
      </x:c>
      <x:c r="S33" s="548" t="str">
        <x:f>IF($R33&lt;&gt;"Yes","",IF(COUNTIFS($B$5:$B33,$B33,$R$5:$R33,"Yes",$F$5:$F33,"&lt;"&amp;$F33)=0,IF(COUNTIFS($B$5:$B33,$B33,$R$5:$R33,"Yes",$F$5:$F33,$F33)=1,"NEW PB","TIED PB"),""))</x:f>
      </x:c>
    </x:row>
    <x:row r="34" ht="36" customHeight="1">
      <x:c r="A34" s="408"/>
      <x:c r="B34" s="318"/>
      <x:c r="C34" s="318"/>
      <x:c r="D34" s="318"/>
      <x:c r="E34" s="318"/>
      <x:c r="F34" s="409"/>
      <x:c r="G34" s="410"/>
      <x:c r="H34" s="410"/>
      <x:c r="I34" s="410"/>
      <x:c r="J34" s="318"/>
      <x:c r="K34" s="318"/>
      <x:c r="L34" s="318"/>
      <x:c r="M34" s="318"/>
      <x:c r="N34" s="410"/>
      <x:c r="O34" s="410"/>
      <x:c r="P34" s="318"/>
      <x:c r="Q34" s="319"/>
      <x:c r="R34" s="547" t="str">
        <x:f>IF($A34="","",IF(AND($E34="Completed",OR($D34="Full Run",$D34="No-Reset Run",$D34="PB Attempt"),ISNUMBER($F34)),"Yes","No"))</x:f>
      </x:c>
      <x:c r="S34" s="548" t="str">
        <x:f>IF($R34&lt;&gt;"Yes","",IF(COUNTIFS($B$5:$B34,$B34,$R$5:$R34,"Yes",$F$5:$F34,"&lt;"&amp;$F34)=0,IF(COUNTIFS($B$5:$B34,$B34,$R$5:$R34,"Yes",$F$5:$F34,$F34)=1,"NEW PB","TIED PB"),""))</x:f>
      </x:c>
    </x:row>
    <x:row r="35" ht="36" customHeight="1">
      <x:c r="A35" s="408"/>
      <x:c r="B35" s="318"/>
      <x:c r="C35" s="318"/>
      <x:c r="D35" s="318"/>
      <x:c r="E35" s="318"/>
      <x:c r="F35" s="409"/>
      <x:c r="G35" s="410"/>
      <x:c r="H35" s="410"/>
      <x:c r="I35" s="410"/>
      <x:c r="J35" s="318"/>
      <x:c r="K35" s="318"/>
      <x:c r="L35" s="318"/>
      <x:c r="M35" s="318"/>
      <x:c r="N35" s="410"/>
      <x:c r="O35" s="410"/>
      <x:c r="P35" s="318"/>
      <x:c r="Q35" s="319"/>
      <x:c r="R35" s="547" t="str">
        <x:f>IF($A35="","",IF(AND($E35="Completed",OR($D35="Full Run",$D35="No-Reset Run",$D35="PB Attempt"),ISNUMBER($F35)),"Yes","No"))</x:f>
      </x:c>
      <x:c r="S35" s="548" t="str">
        <x:f>IF($R35&lt;&gt;"Yes","",IF(COUNTIFS($B$5:$B35,$B35,$R$5:$R35,"Yes",$F$5:$F35,"&lt;"&amp;$F35)=0,IF(COUNTIFS($B$5:$B35,$B35,$R$5:$R35,"Yes",$F$5:$F35,$F35)=1,"NEW PB","TIED PB"),""))</x:f>
      </x:c>
    </x:row>
    <x:row r="36" ht="36" customHeight="1">
      <x:c r="A36" s="408"/>
      <x:c r="B36" s="318"/>
      <x:c r="C36" s="318"/>
      <x:c r="D36" s="318"/>
      <x:c r="E36" s="318"/>
      <x:c r="F36" s="409"/>
      <x:c r="G36" s="410"/>
      <x:c r="H36" s="410"/>
      <x:c r="I36" s="410"/>
      <x:c r="J36" s="318"/>
      <x:c r="K36" s="318"/>
      <x:c r="L36" s="318"/>
      <x:c r="M36" s="318"/>
      <x:c r="N36" s="410"/>
      <x:c r="O36" s="410"/>
      <x:c r="P36" s="318"/>
      <x:c r="Q36" s="319"/>
      <x:c r="R36" s="547" t="str">
        <x:f>IF($A36="","",IF(AND($E36="Completed",OR($D36="Full Run",$D36="No-Reset Run",$D36="PB Attempt"),ISNUMBER($F36)),"Yes","No"))</x:f>
      </x:c>
      <x:c r="S36" s="548" t="str">
        <x:f>IF($R36&lt;&gt;"Yes","",IF(COUNTIFS($B$5:$B36,$B36,$R$5:$R36,"Yes",$F$5:$F36,"&lt;"&amp;$F36)=0,IF(COUNTIFS($B$5:$B36,$B36,$R$5:$R36,"Yes",$F$5:$F36,$F36)=1,"NEW PB","TIED PB"),""))</x:f>
      </x:c>
    </x:row>
    <x:row r="37" ht="36" customHeight="1">
      <x:c r="A37" s="408"/>
      <x:c r="B37" s="318"/>
      <x:c r="C37" s="318"/>
      <x:c r="D37" s="318"/>
      <x:c r="E37" s="318"/>
      <x:c r="F37" s="409"/>
      <x:c r="G37" s="410"/>
      <x:c r="H37" s="410"/>
      <x:c r="I37" s="410"/>
      <x:c r="J37" s="318"/>
      <x:c r="K37" s="318"/>
      <x:c r="L37" s="318"/>
      <x:c r="M37" s="318"/>
      <x:c r="N37" s="410"/>
      <x:c r="O37" s="410"/>
      <x:c r="P37" s="318"/>
      <x:c r="Q37" s="319"/>
      <x:c r="R37" s="547" t="str">
        <x:f>IF($A37="","",IF(AND($E37="Completed",OR($D37="Full Run",$D37="No-Reset Run",$D37="PB Attempt"),ISNUMBER($F37)),"Yes","No"))</x:f>
      </x:c>
      <x:c r="S37" s="548" t="str">
        <x:f>IF($R37&lt;&gt;"Yes","",IF(COUNTIFS($B$5:$B37,$B37,$R$5:$R37,"Yes",$F$5:$F37,"&lt;"&amp;$F37)=0,IF(COUNTIFS($B$5:$B37,$B37,$R$5:$R37,"Yes",$F$5:$F37,$F37)=1,"NEW PB","TIED PB"),""))</x:f>
      </x:c>
    </x:row>
    <x:row r="38" ht="36" customHeight="1">
      <x:c r="A38" s="408"/>
      <x:c r="B38" s="318"/>
      <x:c r="C38" s="318"/>
      <x:c r="D38" s="318"/>
      <x:c r="E38" s="318"/>
      <x:c r="F38" s="409"/>
      <x:c r="G38" s="410"/>
      <x:c r="H38" s="410"/>
      <x:c r="I38" s="410"/>
      <x:c r="J38" s="318"/>
      <x:c r="K38" s="318"/>
      <x:c r="L38" s="318"/>
      <x:c r="M38" s="318"/>
      <x:c r="N38" s="410"/>
      <x:c r="O38" s="410"/>
      <x:c r="P38" s="318"/>
      <x:c r="Q38" s="319"/>
      <x:c r="R38" s="547" t="str">
        <x:f>IF($A38="","",IF(AND($E38="Completed",OR($D38="Full Run",$D38="No-Reset Run",$D38="PB Attempt"),ISNUMBER($F38)),"Yes","No"))</x:f>
      </x:c>
      <x:c r="S38" s="548" t="str">
        <x:f>IF($R38&lt;&gt;"Yes","",IF(COUNTIFS($B$5:$B38,$B38,$R$5:$R38,"Yes",$F$5:$F38,"&lt;"&amp;$F38)=0,IF(COUNTIFS($B$5:$B38,$B38,$R$5:$R38,"Yes",$F$5:$F38,$F38)=1,"NEW PB","TIED PB"),""))</x:f>
      </x:c>
    </x:row>
    <x:row r="39" ht="36" customHeight="1">
      <x:c r="A39" s="408"/>
      <x:c r="B39" s="318"/>
      <x:c r="C39" s="318"/>
      <x:c r="D39" s="318"/>
      <x:c r="E39" s="318"/>
      <x:c r="F39" s="409"/>
      <x:c r="G39" s="410"/>
      <x:c r="H39" s="410"/>
      <x:c r="I39" s="410"/>
      <x:c r="J39" s="318"/>
      <x:c r="K39" s="318"/>
      <x:c r="L39" s="318"/>
      <x:c r="M39" s="318"/>
      <x:c r="N39" s="410"/>
      <x:c r="O39" s="410"/>
      <x:c r="P39" s="318"/>
      <x:c r="Q39" s="319"/>
      <x:c r="R39" s="547" t="str">
        <x:f>IF($A39="","",IF(AND($E39="Completed",OR($D39="Full Run",$D39="No-Reset Run",$D39="PB Attempt"),ISNUMBER($F39)),"Yes","No"))</x:f>
      </x:c>
      <x:c r="S39" s="548" t="str">
        <x:f>IF($R39&lt;&gt;"Yes","",IF(COUNTIFS($B$5:$B39,$B39,$R$5:$R39,"Yes",$F$5:$F39,"&lt;"&amp;$F39)=0,IF(COUNTIFS($B$5:$B39,$B39,$R$5:$R39,"Yes",$F$5:$F39,$F39)=1,"NEW PB","TIED PB"),""))</x:f>
      </x:c>
    </x:row>
    <x:row r="40" ht="36" customHeight="1">
      <x:c r="A40" s="408"/>
      <x:c r="B40" s="318"/>
      <x:c r="C40" s="318"/>
      <x:c r="D40" s="318"/>
      <x:c r="E40" s="318"/>
      <x:c r="F40" s="409"/>
      <x:c r="G40" s="410"/>
      <x:c r="H40" s="410"/>
      <x:c r="I40" s="410"/>
      <x:c r="J40" s="318"/>
      <x:c r="K40" s="318"/>
      <x:c r="L40" s="318"/>
      <x:c r="M40" s="318"/>
      <x:c r="N40" s="410"/>
      <x:c r="O40" s="410"/>
      <x:c r="P40" s="318"/>
      <x:c r="Q40" s="319"/>
      <x:c r="R40" s="547" t="str">
        <x:f>IF($A40="","",IF(AND($E40="Completed",OR($D40="Full Run",$D40="No-Reset Run",$D40="PB Attempt"),ISNUMBER($F40)),"Yes","No"))</x:f>
      </x:c>
      <x:c r="S40" s="548" t="str">
        <x:f>IF($R40&lt;&gt;"Yes","",IF(COUNTIFS($B$5:$B40,$B40,$R$5:$R40,"Yes",$F$5:$F40,"&lt;"&amp;$F40)=0,IF(COUNTIFS($B$5:$B40,$B40,$R$5:$R40,"Yes",$F$5:$F40,$F40)=1,"NEW PB","TIED PB"),""))</x:f>
      </x:c>
    </x:row>
    <x:row r="41" ht="36" customHeight="1">
      <x:c r="A41" s="408"/>
      <x:c r="B41" s="318"/>
      <x:c r="C41" s="318"/>
      <x:c r="D41" s="318"/>
      <x:c r="E41" s="318"/>
      <x:c r="F41" s="409"/>
      <x:c r="G41" s="410"/>
      <x:c r="H41" s="410"/>
      <x:c r="I41" s="410"/>
      <x:c r="J41" s="318"/>
      <x:c r="K41" s="318"/>
      <x:c r="L41" s="318"/>
      <x:c r="M41" s="318"/>
      <x:c r="N41" s="410"/>
      <x:c r="O41" s="410"/>
      <x:c r="P41" s="318"/>
      <x:c r="Q41" s="319"/>
      <x:c r="R41" s="547" t="str">
        <x:f>IF($A41="","",IF(AND($E41="Completed",OR($D41="Full Run",$D41="No-Reset Run",$D41="PB Attempt"),ISNUMBER($F41)),"Yes","No"))</x:f>
      </x:c>
      <x:c r="S41" s="548" t="str">
        <x:f>IF($R41&lt;&gt;"Yes","",IF(COUNTIFS($B$5:$B41,$B41,$R$5:$R41,"Yes",$F$5:$F41,"&lt;"&amp;$F41)=0,IF(COUNTIFS($B$5:$B41,$B41,$R$5:$R41,"Yes",$F$5:$F41,$F41)=1,"NEW PB","TIED PB"),""))</x:f>
      </x:c>
    </x:row>
    <x:row r="42" ht="36" customHeight="1">
      <x:c r="A42" s="408"/>
      <x:c r="B42" s="318"/>
      <x:c r="C42" s="318"/>
      <x:c r="D42" s="318"/>
      <x:c r="E42" s="318"/>
      <x:c r="F42" s="409"/>
      <x:c r="G42" s="410"/>
      <x:c r="H42" s="410"/>
      <x:c r="I42" s="410"/>
      <x:c r="J42" s="318"/>
      <x:c r="K42" s="318"/>
      <x:c r="L42" s="318"/>
      <x:c r="M42" s="318"/>
      <x:c r="N42" s="410"/>
      <x:c r="O42" s="410"/>
      <x:c r="P42" s="318"/>
      <x:c r="Q42" s="319"/>
      <x:c r="R42" s="547" t="str">
        <x:f>IF($A42="","",IF(AND($E42="Completed",OR($D42="Full Run",$D42="No-Reset Run",$D42="PB Attempt"),ISNUMBER($F42)),"Yes","No"))</x:f>
      </x:c>
      <x:c r="S42" s="548" t="str">
        <x:f>IF($R42&lt;&gt;"Yes","",IF(COUNTIFS($B$5:$B42,$B42,$R$5:$R42,"Yes",$F$5:$F42,"&lt;"&amp;$F42)=0,IF(COUNTIFS($B$5:$B42,$B42,$R$5:$R42,"Yes",$F$5:$F42,$F42)=1,"NEW PB","TIED PB"),""))</x:f>
      </x:c>
    </x:row>
    <x:row r="43" ht="36" customHeight="1">
      <x:c r="A43" s="408"/>
      <x:c r="B43" s="318"/>
      <x:c r="C43" s="318"/>
      <x:c r="D43" s="318"/>
      <x:c r="E43" s="318"/>
      <x:c r="F43" s="409"/>
      <x:c r="G43" s="410"/>
      <x:c r="H43" s="410"/>
      <x:c r="I43" s="410"/>
      <x:c r="J43" s="318"/>
      <x:c r="K43" s="318"/>
      <x:c r="L43" s="318"/>
      <x:c r="M43" s="318"/>
      <x:c r="N43" s="410"/>
      <x:c r="O43" s="410"/>
      <x:c r="P43" s="318"/>
      <x:c r="Q43" s="319"/>
      <x:c r="R43" s="547" t="str">
        <x:f>IF($A43="","",IF(AND($E43="Completed",OR($D43="Full Run",$D43="No-Reset Run",$D43="PB Attempt"),ISNUMBER($F43)),"Yes","No"))</x:f>
      </x:c>
      <x:c r="S43" s="548" t="str">
        <x:f>IF($R43&lt;&gt;"Yes","",IF(COUNTIFS($B$5:$B43,$B43,$R$5:$R43,"Yes",$F$5:$F43,"&lt;"&amp;$F43)=0,IF(COUNTIFS($B$5:$B43,$B43,$R$5:$R43,"Yes",$F$5:$F43,$F43)=1,"NEW PB","TIED PB"),""))</x:f>
      </x:c>
    </x:row>
    <x:row r="44" ht="36" customHeight="1">
      <x:c r="A44" s="408"/>
      <x:c r="B44" s="318"/>
      <x:c r="C44" s="318"/>
      <x:c r="D44" s="318"/>
      <x:c r="E44" s="318"/>
      <x:c r="F44" s="409"/>
      <x:c r="G44" s="410"/>
      <x:c r="H44" s="410"/>
      <x:c r="I44" s="410"/>
      <x:c r="J44" s="318"/>
      <x:c r="K44" s="318"/>
      <x:c r="L44" s="318"/>
      <x:c r="M44" s="318"/>
      <x:c r="N44" s="410"/>
      <x:c r="O44" s="410"/>
      <x:c r="P44" s="318"/>
      <x:c r="Q44" s="319"/>
      <x:c r="R44" s="547" t="str">
        <x:f>IF($A44="","",IF(AND($E44="Completed",OR($D44="Full Run",$D44="No-Reset Run",$D44="PB Attempt"),ISNUMBER($F44)),"Yes","No"))</x:f>
      </x:c>
      <x:c r="S44" s="548" t="str">
        <x:f>IF($R44&lt;&gt;"Yes","",IF(COUNTIFS($B$5:$B44,$B44,$R$5:$R44,"Yes",$F$5:$F44,"&lt;"&amp;$F44)=0,IF(COUNTIFS($B$5:$B44,$B44,$R$5:$R44,"Yes",$F$5:$F44,$F44)=1,"NEW PB","TIED PB"),""))</x:f>
      </x:c>
    </x:row>
    <x:row r="45" ht="36" customHeight="1">
      <x:c r="A45" s="408"/>
      <x:c r="B45" s="318"/>
      <x:c r="C45" s="318"/>
      <x:c r="D45" s="318"/>
      <x:c r="E45" s="318"/>
      <x:c r="F45" s="409"/>
      <x:c r="G45" s="410"/>
      <x:c r="H45" s="410"/>
      <x:c r="I45" s="410"/>
      <x:c r="J45" s="318"/>
      <x:c r="K45" s="318"/>
      <x:c r="L45" s="318"/>
      <x:c r="M45" s="318"/>
      <x:c r="N45" s="410"/>
      <x:c r="O45" s="410"/>
      <x:c r="P45" s="318"/>
      <x:c r="Q45" s="319"/>
      <x:c r="R45" s="547" t="str">
        <x:f>IF($A45="","",IF(AND($E45="Completed",OR($D45="Full Run",$D45="No-Reset Run",$D45="PB Attempt"),ISNUMBER($F45)),"Yes","No"))</x:f>
      </x:c>
      <x:c r="S45" s="548" t="str">
        <x:f>IF($R45&lt;&gt;"Yes","",IF(COUNTIFS($B$5:$B45,$B45,$R$5:$R45,"Yes",$F$5:$F45,"&lt;"&amp;$F45)=0,IF(COUNTIFS($B$5:$B45,$B45,$R$5:$R45,"Yes",$F$5:$F45,$F45)=1,"NEW PB","TIED PB"),""))</x:f>
      </x:c>
    </x:row>
    <x:row r="46" ht="36" customHeight="1">
      <x:c r="A46" s="408"/>
      <x:c r="B46" s="318"/>
      <x:c r="C46" s="318"/>
      <x:c r="D46" s="318"/>
      <x:c r="E46" s="318"/>
      <x:c r="F46" s="409"/>
      <x:c r="G46" s="410"/>
      <x:c r="H46" s="410"/>
      <x:c r="I46" s="410"/>
      <x:c r="J46" s="318"/>
      <x:c r="K46" s="318"/>
      <x:c r="L46" s="318"/>
      <x:c r="M46" s="318"/>
      <x:c r="N46" s="410"/>
      <x:c r="O46" s="410"/>
      <x:c r="P46" s="318"/>
      <x:c r="Q46" s="319"/>
      <x:c r="R46" s="547" t="str">
        <x:f>IF($A46="","",IF(AND($E46="Completed",OR($D46="Full Run",$D46="No-Reset Run",$D46="PB Attempt"),ISNUMBER($F46)),"Yes","No"))</x:f>
      </x:c>
      <x:c r="S46" s="548" t="str">
        <x:f>IF($R46&lt;&gt;"Yes","",IF(COUNTIFS($B$5:$B46,$B46,$R$5:$R46,"Yes",$F$5:$F46,"&lt;"&amp;$F46)=0,IF(COUNTIFS($B$5:$B46,$B46,$R$5:$R46,"Yes",$F$5:$F46,$F46)=1,"NEW PB","TIED PB"),""))</x:f>
      </x:c>
    </x:row>
    <x:row r="47" ht="36" customHeight="1">
      <x:c r="A47" s="408"/>
      <x:c r="B47" s="318"/>
      <x:c r="C47" s="318"/>
      <x:c r="D47" s="318"/>
      <x:c r="E47" s="318"/>
      <x:c r="F47" s="409"/>
      <x:c r="G47" s="410"/>
      <x:c r="H47" s="410"/>
      <x:c r="I47" s="410"/>
      <x:c r="J47" s="318"/>
      <x:c r="K47" s="318"/>
      <x:c r="L47" s="318"/>
      <x:c r="M47" s="318"/>
      <x:c r="N47" s="410"/>
      <x:c r="O47" s="410"/>
      <x:c r="P47" s="318"/>
      <x:c r="Q47" s="319"/>
      <x:c r="R47" s="547" t="str">
        <x:f>IF($A47="","",IF(AND($E47="Completed",OR($D47="Full Run",$D47="No-Reset Run",$D47="PB Attempt"),ISNUMBER($F47)),"Yes","No"))</x:f>
      </x:c>
      <x:c r="S47" s="548" t="str">
        <x:f>IF($R47&lt;&gt;"Yes","",IF(COUNTIFS($B$5:$B47,$B47,$R$5:$R47,"Yes",$F$5:$F47,"&lt;"&amp;$F47)=0,IF(COUNTIFS($B$5:$B47,$B47,$R$5:$R47,"Yes",$F$5:$F47,$F47)=1,"NEW PB","TIED PB"),""))</x:f>
      </x:c>
    </x:row>
    <x:row r="48" ht="36" customHeight="1">
      <x:c r="A48" s="408"/>
      <x:c r="B48" s="318"/>
      <x:c r="C48" s="318"/>
      <x:c r="D48" s="318"/>
      <x:c r="E48" s="318"/>
      <x:c r="F48" s="409"/>
      <x:c r="G48" s="410"/>
      <x:c r="H48" s="410"/>
      <x:c r="I48" s="410"/>
      <x:c r="J48" s="318"/>
      <x:c r="K48" s="318"/>
      <x:c r="L48" s="318"/>
      <x:c r="M48" s="318"/>
      <x:c r="N48" s="410"/>
      <x:c r="O48" s="410"/>
      <x:c r="P48" s="318"/>
      <x:c r="Q48" s="319"/>
      <x:c r="R48" s="547" t="str">
        <x:f>IF($A48="","",IF(AND($E48="Completed",OR($D48="Full Run",$D48="No-Reset Run",$D48="PB Attempt"),ISNUMBER($F48)),"Yes","No"))</x:f>
      </x:c>
      <x:c r="S48" s="548" t="str">
        <x:f>IF($R48&lt;&gt;"Yes","",IF(COUNTIFS($B$5:$B48,$B48,$R$5:$R48,"Yes",$F$5:$F48,"&lt;"&amp;$F48)=0,IF(COUNTIFS($B$5:$B48,$B48,$R$5:$R48,"Yes",$F$5:$F48,$F48)=1,"NEW PB","TIED PB"),""))</x:f>
      </x:c>
    </x:row>
    <x:row r="49" ht="36" customHeight="1">
      <x:c r="A49" s="408"/>
      <x:c r="B49" s="318"/>
      <x:c r="C49" s="318"/>
      <x:c r="D49" s="318"/>
      <x:c r="E49" s="318"/>
      <x:c r="F49" s="409"/>
      <x:c r="G49" s="410"/>
      <x:c r="H49" s="410"/>
      <x:c r="I49" s="410"/>
      <x:c r="J49" s="318"/>
      <x:c r="K49" s="318"/>
      <x:c r="L49" s="318"/>
      <x:c r="M49" s="318"/>
      <x:c r="N49" s="410"/>
      <x:c r="O49" s="410"/>
      <x:c r="P49" s="318"/>
      <x:c r="Q49" s="319"/>
      <x:c r="R49" s="547" t="str">
        <x:f>IF($A49="","",IF(AND($E49="Completed",OR($D49="Full Run",$D49="No-Reset Run",$D49="PB Attempt"),ISNUMBER($F49)),"Yes","No"))</x:f>
      </x:c>
      <x:c r="S49" s="548" t="str">
        <x:f>IF($R49&lt;&gt;"Yes","",IF(COUNTIFS($B$5:$B49,$B49,$R$5:$R49,"Yes",$F$5:$F49,"&lt;"&amp;$F49)=0,IF(COUNTIFS($B$5:$B49,$B49,$R$5:$R49,"Yes",$F$5:$F49,$F49)=1,"NEW PB","TIED PB"),""))</x:f>
      </x:c>
    </x:row>
    <x:row r="50" ht="36" customHeight="1">
      <x:c r="A50" s="408"/>
      <x:c r="B50" s="318"/>
      <x:c r="C50" s="318"/>
      <x:c r="D50" s="318"/>
      <x:c r="E50" s="318"/>
      <x:c r="F50" s="409"/>
      <x:c r="G50" s="410"/>
      <x:c r="H50" s="410"/>
      <x:c r="I50" s="410"/>
      <x:c r="J50" s="318"/>
      <x:c r="K50" s="318"/>
      <x:c r="L50" s="318"/>
      <x:c r="M50" s="318"/>
      <x:c r="N50" s="410"/>
      <x:c r="O50" s="410"/>
      <x:c r="P50" s="318"/>
      <x:c r="Q50" s="319"/>
      <x:c r="R50" s="547" t="str">
        <x:f>IF($A50="","",IF(AND($E50="Completed",OR($D50="Full Run",$D50="No-Reset Run",$D50="PB Attempt"),ISNUMBER($F50)),"Yes","No"))</x:f>
      </x:c>
      <x:c r="S50" s="548" t="str">
        <x:f>IF($R50&lt;&gt;"Yes","",IF(COUNTIFS($B$5:$B50,$B50,$R$5:$R50,"Yes",$F$5:$F50,"&lt;"&amp;$F50)=0,IF(COUNTIFS($B$5:$B50,$B50,$R$5:$R50,"Yes",$F$5:$F50,$F50)=1,"NEW PB","TIED PB"),""))</x:f>
      </x:c>
    </x:row>
    <x:row r="51" ht="36" customHeight="1">
      <x:c r="A51" s="408"/>
      <x:c r="B51" s="318"/>
      <x:c r="C51" s="318"/>
      <x:c r="D51" s="318"/>
      <x:c r="E51" s="318"/>
      <x:c r="F51" s="409"/>
      <x:c r="G51" s="410"/>
      <x:c r="H51" s="410"/>
      <x:c r="I51" s="410"/>
      <x:c r="J51" s="318"/>
      <x:c r="K51" s="318"/>
      <x:c r="L51" s="318"/>
      <x:c r="M51" s="318"/>
      <x:c r="N51" s="410"/>
      <x:c r="O51" s="410"/>
      <x:c r="P51" s="318"/>
      <x:c r="Q51" s="319"/>
      <x:c r="R51" s="547" t="str">
        <x:f>IF($A51="","",IF(AND($E51="Completed",OR($D51="Full Run",$D51="No-Reset Run",$D51="PB Attempt"),ISNUMBER($F51)),"Yes","No"))</x:f>
      </x:c>
      <x:c r="S51" s="548" t="str">
        <x:f>IF($R51&lt;&gt;"Yes","",IF(COUNTIFS($B$5:$B51,$B51,$R$5:$R51,"Yes",$F$5:$F51,"&lt;"&amp;$F51)=0,IF(COUNTIFS($B$5:$B51,$B51,$R$5:$R51,"Yes",$F$5:$F51,$F51)=1,"NEW PB","TIED PB"),""))</x:f>
      </x:c>
    </x:row>
    <x:row r="52" ht="36" customHeight="1">
      <x:c r="A52" s="408"/>
      <x:c r="B52" s="318"/>
      <x:c r="C52" s="318"/>
      <x:c r="D52" s="318"/>
      <x:c r="E52" s="318"/>
      <x:c r="F52" s="409"/>
      <x:c r="G52" s="410"/>
      <x:c r="H52" s="410"/>
      <x:c r="I52" s="410"/>
      <x:c r="J52" s="318"/>
      <x:c r="K52" s="318"/>
      <x:c r="L52" s="318"/>
      <x:c r="M52" s="318"/>
      <x:c r="N52" s="410"/>
      <x:c r="O52" s="410"/>
      <x:c r="P52" s="318"/>
      <x:c r="Q52" s="319"/>
      <x:c r="R52" s="547" t="str">
        <x:f>IF($A52="","",IF(AND($E52="Completed",OR($D52="Full Run",$D52="No-Reset Run",$D52="PB Attempt"),ISNUMBER($F52)),"Yes","No"))</x:f>
      </x:c>
      <x:c r="S52" s="548" t="str">
        <x:f>IF($R52&lt;&gt;"Yes","",IF(COUNTIFS($B$5:$B52,$B52,$R$5:$R52,"Yes",$F$5:$F52,"&lt;"&amp;$F52)=0,IF(COUNTIFS($B$5:$B52,$B52,$R$5:$R52,"Yes",$F$5:$F52,$F52)=1,"NEW PB","TIED PB"),""))</x:f>
      </x:c>
    </x:row>
    <x:row r="53" ht="36" customHeight="1">
      <x:c r="A53" s="408"/>
      <x:c r="B53" s="318"/>
      <x:c r="C53" s="318"/>
      <x:c r="D53" s="318"/>
      <x:c r="E53" s="318"/>
      <x:c r="F53" s="409"/>
      <x:c r="G53" s="410"/>
      <x:c r="H53" s="410"/>
      <x:c r="I53" s="410"/>
      <x:c r="J53" s="318"/>
      <x:c r="K53" s="318"/>
      <x:c r="L53" s="318"/>
      <x:c r="M53" s="318"/>
      <x:c r="N53" s="410"/>
      <x:c r="O53" s="410"/>
      <x:c r="P53" s="318"/>
      <x:c r="Q53" s="319"/>
      <x:c r="R53" s="547" t="str">
        <x:f>IF($A53="","",IF(AND($E53="Completed",OR($D53="Full Run",$D53="No-Reset Run",$D53="PB Attempt"),ISNUMBER($F53)),"Yes","No"))</x:f>
      </x:c>
      <x:c r="S53" s="548" t="str">
        <x:f>IF($R53&lt;&gt;"Yes","",IF(COUNTIFS($B$5:$B53,$B53,$R$5:$R53,"Yes",$F$5:$F53,"&lt;"&amp;$F53)=0,IF(COUNTIFS($B$5:$B53,$B53,$R$5:$R53,"Yes",$F$5:$F53,$F53)=1,"NEW PB","TIED PB"),""))</x:f>
      </x:c>
    </x:row>
    <x:row r="54" ht="36" customHeight="1">
      <x:c r="A54" s="408"/>
      <x:c r="B54" s="318"/>
      <x:c r="C54" s="318"/>
      <x:c r="D54" s="318"/>
      <x:c r="E54" s="318"/>
      <x:c r="F54" s="409"/>
      <x:c r="G54" s="410"/>
      <x:c r="H54" s="410"/>
      <x:c r="I54" s="410"/>
      <x:c r="J54" s="318"/>
      <x:c r="K54" s="318"/>
      <x:c r="L54" s="318"/>
      <x:c r="M54" s="318"/>
      <x:c r="N54" s="410"/>
      <x:c r="O54" s="410"/>
      <x:c r="P54" s="318"/>
      <x:c r="Q54" s="319"/>
      <x:c r="R54" s="547" t="str">
        <x:f>IF($A54="","",IF(AND($E54="Completed",OR($D54="Full Run",$D54="No-Reset Run",$D54="PB Attempt"),ISNUMBER($F54)),"Yes","No"))</x:f>
      </x:c>
      <x:c r="S54" s="548" t="str">
        <x:f>IF($R54&lt;&gt;"Yes","",IF(COUNTIFS($B$5:$B54,$B54,$R$5:$R54,"Yes",$F$5:$F54,"&lt;"&amp;$F54)=0,IF(COUNTIFS($B$5:$B54,$B54,$R$5:$R54,"Yes",$F$5:$F54,$F54)=1,"NEW PB","TIED PB"),""))</x:f>
      </x:c>
    </x:row>
    <x:row r="55" ht="36" customHeight="1">
      <x:c r="A55" s="408"/>
      <x:c r="B55" s="318"/>
      <x:c r="C55" s="318"/>
      <x:c r="D55" s="318"/>
      <x:c r="E55" s="318"/>
      <x:c r="F55" s="409"/>
      <x:c r="G55" s="410"/>
      <x:c r="H55" s="410"/>
      <x:c r="I55" s="410"/>
      <x:c r="J55" s="318"/>
      <x:c r="K55" s="318"/>
      <x:c r="L55" s="318"/>
      <x:c r="M55" s="318"/>
      <x:c r="N55" s="410"/>
      <x:c r="O55" s="410"/>
      <x:c r="P55" s="318"/>
      <x:c r="Q55" s="319"/>
      <x:c r="R55" s="547" t="str">
        <x:f>IF($A55="","",IF(AND($E55="Completed",OR($D55="Full Run",$D55="No-Reset Run",$D55="PB Attempt"),ISNUMBER($F55)),"Yes","No"))</x:f>
      </x:c>
      <x:c r="S55" s="548" t="str">
        <x:f>IF($R55&lt;&gt;"Yes","",IF(COUNTIFS($B$5:$B55,$B55,$R$5:$R55,"Yes",$F$5:$F55,"&lt;"&amp;$F55)=0,IF(COUNTIFS($B$5:$B55,$B55,$R$5:$R55,"Yes",$F$5:$F55,$F55)=1,"NEW PB","TIED PB"),""))</x:f>
      </x:c>
    </x:row>
    <x:row r="56" ht="36" customHeight="1">
      <x:c r="A56" s="408"/>
      <x:c r="B56" s="318"/>
      <x:c r="C56" s="318"/>
      <x:c r="D56" s="318"/>
      <x:c r="E56" s="318"/>
      <x:c r="F56" s="409"/>
      <x:c r="G56" s="410"/>
      <x:c r="H56" s="410"/>
      <x:c r="I56" s="410"/>
      <x:c r="J56" s="318"/>
      <x:c r="K56" s="318"/>
      <x:c r="L56" s="318"/>
      <x:c r="M56" s="318"/>
      <x:c r="N56" s="410"/>
      <x:c r="O56" s="410"/>
      <x:c r="P56" s="318"/>
      <x:c r="Q56" s="319"/>
      <x:c r="R56" s="547" t="str">
        <x:f>IF($A56="","",IF(AND($E56="Completed",OR($D56="Full Run",$D56="No-Reset Run",$D56="PB Attempt"),ISNUMBER($F56)),"Yes","No"))</x:f>
      </x:c>
      <x:c r="S56" s="548" t="str">
        <x:f>IF($R56&lt;&gt;"Yes","",IF(COUNTIFS($B$5:$B56,$B56,$R$5:$R56,"Yes",$F$5:$F56,"&lt;"&amp;$F56)=0,IF(COUNTIFS($B$5:$B56,$B56,$R$5:$R56,"Yes",$F$5:$F56,$F56)=1,"NEW PB","TIED PB"),""))</x:f>
      </x:c>
    </x:row>
    <x:row r="57" ht="36" customHeight="1">
      <x:c r="A57" s="408"/>
      <x:c r="B57" s="318"/>
      <x:c r="C57" s="318"/>
      <x:c r="D57" s="318"/>
      <x:c r="E57" s="318"/>
      <x:c r="F57" s="409"/>
      <x:c r="G57" s="410"/>
      <x:c r="H57" s="410"/>
      <x:c r="I57" s="410"/>
      <x:c r="J57" s="318"/>
      <x:c r="K57" s="318"/>
      <x:c r="L57" s="318"/>
      <x:c r="M57" s="318"/>
      <x:c r="N57" s="410"/>
      <x:c r="O57" s="410"/>
      <x:c r="P57" s="318"/>
      <x:c r="Q57" s="319"/>
      <x:c r="R57" s="547" t="str">
        <x:f>IF($A57="","",IF(AND($E57="Completed",OR($D57="Full Run",$D57="No-Reset Run",$D57="PB Attempt"),ISNUMBER($F57)),"Yes","No"))</x:f>
      </x:c>
      <x:c r="S57" s="548" t="str">
        <x:f>IF($R57&lt;&gt;"Yes","",IF(COUNTIFS($B$5:$B57,$B57,$R$5:$R57,"Yes",$F$5:$F57,"&lt;"&amp;$F57)=0,IF(COUNTIFS($B$5:$B57,$B57,$R$5:$R57,"Yes",$F$5:$F57,$F57)=1,"NEW PB","TIED PB"),""))</x:f>
      </x:c>
    </x:row>
    <x:row r="58" ht="36" customHeight="1">
      <x:c r="A58" s="408"/>
      <x:c r="B58" s="318"/>
      <x:c r="C58" s="318"/>
      <x:c r="D58" s="318"/>
      <x:c r="E58" s="318"/>
      <x:c r="F58" s="409"/>
      <x:c r="G58" s="410"/>
      <x:c r="H58" s="410"/>
      <x:c r="I58" s="410"/>
      <x:c r="J58" s="318"/>
      <x:c r="K58" s="318"/>
      <x:c r="L58" s="318"/>
      <x:c r="M58" s="318"/>
      <x:c r="N58" s="410"/>
      <x:c r="O58" s="410"/>
      <x:c r="P58" s="318"/>
      <x:c r="Q58" s="319"/>
      <x:c r="R58" s="547" t="str">
        <x:f>IF($A58="","",IF(AND($E58="Completed",OR($D58="Full Run",$D58="No-Reset Run",$D58="PB Attempt"),ISNUMBER($F58)),"Yes","No"))</x:f>
      </x:c>
      <x:c r="S58" s="548" t="str">
        <x:f>IF($R58&lt;&gt;"Yes","",IF(COUNTIFS($B$5:$B58,$B58,$R$5:$R58,"Yes",$F$5:$F58,"&lt;"&amp;$F58)=0,IF(COUNTIFS($B$5:$B58,$B58,$R$5:$R58,"Yes",$F$5:$F58,$F58)=1,"NEW PB","TIED PB"),""))</x:f>
      </x:c>
    </x:row>
    <x:row r="59" ht="36" customHeight="1">
      <x:c r="A59" s="408"/>
      <x:c r="B59" s="318"/>
      <x:c r="C59" s="318"/>
      <x:c r="D59" s="318"/>
      <x:c r="E59" s="318"/>
      <x:c r="F59" s="409"/>
      <x:c r="G59" s="410"/>
      <x:c r="H59" s="410"/>
      <x:c r="I59" s="410"/>
      <x:c r="J59" s="318"/>
      <x:c r="K59" s="318"/>
      <x:c r="L59" s="318"/>
      <x:c r="M59" s="318"/>
      <x:c r="N59" s="410"/>
      <x:c r="O59" s="410"/>
      <x:c r="P59" s="318"/>
      <x:c r="Q59" s="319"/>
      <x:c r="R59" s="547" t="str">
        <x:f>IF($A59="","",IF(AND($E59="Completed",OR($D59="Full Run",$D59="No-Reset Run",$D59="PB Attempt"),ISNUMBER($F59)),"Yes","No"))</x:f>
      </x:c>
      <x:c r="S59" s="548" t="str">
        <x:f>IF($R59&lt;&gt;"Yes","",IF(COUNTIFS($B$5:$B59,$B59,$R$5:$R59,"Yes",$F$5:$F59,"&lt;"&amp;$F59)=0,IF(COUNTIFS($B$5:$B59,$B59,$R$5:$R59,"Yes",$F$5:$F59,$F59)=1,"NEW PB","TIED PB"),""))</x:f>
      </x:c>
    </x:row>
    <x:row r="60" ht="36" customHeight="1">
      <x:c r="A60" s="408"/>
      <x:c r="B60" s="318"/>
      <x:c r="C60" s="318"/>
      <x:c r="D60" s="318"/>
      <x:c r="E60" s="318"/>
      <x:c r="F60" s="409"/>
      <x:c r="G60" s="410"/>
      <x:c r="H60" s="410"/>
      <x:c r="I60" s="410"/>
      <x:c r="J60" s="318"/>
      <x:c r="K60" s="318"/>
      <x:c r="L60" s="318"/>
      <x:c r="M60" s="318"/>
      <x:c r="N60" s="410"/>
      <x:c r="O60" s="410"/>
      <x:c r="P60" s="318"/>
      <x:c r="Q60" s="319"/>
      <x:c r="R60" s="547" t="str">
        <x:f>IF($A60="","",IF(AND($E60="Completed",OR($D60="Full Run",$D60="No-Reset Run",$D60="PB Attempt"),ISNUMBER($F60)),"Yes","No"))</x:f>
      </x:c>
      <x:c r="S60" s="548" t="str">
        <x:f>IF($R60&lt;&gt;"Yes","",IF(COUNTIFS($B$5:$B60,$B60,$R$5:$R60,"Yes",$F$5:$F60,"&lt;"&amp;$F60)=0,IF(COUNTIFS($B$5:$B60,$B60,$R$5:$R60,"Yes",$F$5:$F60,$F60)=1,"NEW PB","TIED PB"),""))</x:f>
      </x:c>
    </x:row>
    <x:row r="61" ht="36" customHeight="1">
      <x:c r="A61" s="408"/>
      <x:c r="B61" s="318"/>
      <x:c r="C61" s="318"/>
      <x:c r="D61" s="318"/>
      <x:c r="E61" s="318"/>
      <x:c r="F61" s="409"/>
      <x:c r="G61" s="410"/>
      <x:c r="H61" s="410"/>
      <x:c r="I61" s="410"/>
      <x:c r="J61" s="318"/>
      <x:c r="K61" s="318"/>
      <x:c r="L61" s="318"/>
      <x:c r="M61" s="318"/>
      <x:c r="N61" s="410"/>
      <x:c r="O61" s="410"/>
      <x:c r="P61" s="318"/>
      <x:c r="Q61" s="319"/>
      <x:c r="R61" s="547" t="str">
        <x:f>IF($A61="","",IF(AND($E61="Completed",OR($D61="Full Run",$D61="No-Reset Run",$D61="PB Attempt"),ISNUMBER($F61)),"Yes","No"))</x:f>
      </x:c>
      <x:c r="S61" s="548" t="str">
        <x:f>IF($R61&lt;&gt;"Yes","",IF(COUNTIFS($B$5:$B61,$B61,$R$5:$R61,"Yes",$F$5:$F61,"&lt;"&amp;$F61)=0,IF(COUNTIFS($B$5:$B61,$B61,$R$5:$R61,"Yes",$F$5:$F61,$F61)=1,"NEW PB","TIED PB"),""))</x:f>
      </x:c>
    </x:row>
    <x:row r="62" ht="36" customHeight="1">
      <x:c r="A62" s="408"/>
      <x:c r="B62" s="318"/>
      <x:c r="C62" s="318"/>
      <x:c r="D62" s="318"/>
      <x:c r="E62" s="318"/>
      <x:c r="F62" s="409"/>
      <x:c r="G62" s="410"/>
      <x:c r="H62" s="410"/>
      <x:c r="I62" s="410"/>
      <x:c r="J62" s="318"/>
      <x:c r="K62" s="318"/>
      <x:c r="L62" s="318"/>
      <x:c r="M62" s="318"/>
      <x:c r="N62" s="410"/>
      <x:c r="O62" s="410"/>
      <x:c r="P62" s="318"/>
      <x:c r="Q62" s="319"/>
      <x:c r="R62" s="547" t="str">
        <x:f>IF($A62="","",IF(AND($E62="Completed",OR($D62="Full Run",$D62="No-Reset Run",$D62="PB Attempt"),ISNUMBER($F62)),"Yes","No"))</x:f>
      </x:c>
      <x:c r="S62" s="548" t="str">
        <x:f>IF($R62&lt;&gt;"Yes","",IF(COUNTIFS($B$5:$B62,$B62,$R$5:$R62,"Yes",$F$5:$F62,"&lt;"&amp;$F62)=0,IF(COUNTIFS($B$5:$B62,$B62,$R$5:$R62,"Yes",$F$5:$F62,$F62)=1,"NEW PB","TIED PB"),""))</x:f>
      </x:c>
    </x:row>
    <x:row r="63" ht="36" customHeight="1">
      <x:c r="A63" s="408"/>
      <x:c r="B63" s="318"/>
      <x:c r="C63" s="318"/>
      <x:c r="D63" s="318"/>
      <x:c r="E63" s="318"/>
      <x:c r="F63" s="409"/>
      <x:c r="G63" s="410"/>
      <x:c r="H63" s="410"/>
      <x:c r="I63" s="410"/>
      <x:c r="J63" s="318"/>
      <x:c r="K63" s="318"/>
      <x:c r="L63" s="318"/>
      <x:c r="M63" s="318"/>
      <x:c r="N63" s="410"/>
      <x:c r="O63" s="410"/>
      <x:c r="P63" s="318"/>
      <x:c r="Q63" s="319"/>
      <x:c r="R63" s="547" t="str">
        <x:f>IF($A63="","",IF(AND($E63="Completed",OR($D63="Full Run",$D63="No-Reset Run",$D63="PB Attempt"),ISNUMBER($F63)),"Yes","No"))</x:f>
      </x:c>
      <x:c r="S63" s="548" t="str">
        <x:f>IF($R63&lt;&gt;"Yes","",IF(COUNTIFS($B$5:$B63,$B63,$R$5:$R63,"Yes",$F$5:$F63,"&lt;"&amp;$F63)=0,IF(COUNTIFS($B$5:$B63,$B63,$R$5:$R63,"Yes",$F$5:$F63,$F63)=1,"NEW PB","TIED PB"),""))</x:f>
      </x:c>
    </x:row>
    <x:row r="64" ht="36" customHeight="1">
      <x:c r="A64" s="408"/>
      <x:c r="B64" s="318"/>
      <x:c r="C64" s="318"/>
      <x:c r="D64" s="318"/>
      <x:c r="E64" s="318"/>
      <x:c r="F64" s="409"/>
      <x:c r="G64" s="410"/>
      <x:c r="H64" s="410"/>
      <x:c r="I64" s="410"/>
      <x:c r="J64" s="318"/>
      <x:c r="K64" s="318"/>
      <x:c r="L64" s="318"/>
      <x:c r="M64" s="318"/>
      <x:c r="N64" s="410"/>
      <x:c r="O64" s="410"/>
      <x:c r="P64" s="318"/>
      <x:c r="Q64" s="319"/>
      <x:c r="R64" s="547" t="str">
        <x:f>IF($A64="","",IF(AND($E64="Completed",OR($D64="Full Run",$D64="No-Reset Run",$D64="PB Attempt"),ISNUMBER($F64)),"Yes","No"))</x:f>
      </x:c>
      <x:c r="S64" s="548" t="str">
        <x:f>IF($R64&lt;&gt;"Yes","",IF(COUNTIFS($B$5:$B64,$B64,$R$5:$R64,"Yes",$F$5:$F64,"&lt;"&amp;$F64)=0,IF(COUNTIFS($B$5:$B64,$B64,$R$5:$R64,"Yes",$F$5:$F64,$F64)=1,"NEW PB","TIED PB"),""))</x:f>
      </x:c>
    </x:row>
    <x:row r="65" ht="36" customHeight="1">
      <x:c r="A65" s="408"/>
      <x:c r="B65" s="318"/>
      <x:c r="C65" s="318"/>
      <x:c r="D65" s="318"/>
      <x:c r="E65" s="318"/>
      <x:c r="F65" s="409"/>
      <x:c r="G65" s="410"/>
      <x:c r="H65" s="410"/>
      <x:c r="I65" s="410"/>
      <x:c r="J65" s="318"/>
      <x:c r="K65" s="318"/>
      <x:c r="L65" s="318"/>
      <x:c r="M65" s="318"/>
      <x:c r="N65" s="410"/>
      <x:c r="O65" s="410"/>
      <x:c r="P65" s="318"/>
      <x:c r="Q65" s="319"/>
      <x:c r="R65" s="547" t="str">
        <x:f>IF($A65="","",IF(AND($E65="Completed",OR($D65="Full Run",$D65="No-Reset Run",$D65="PB Attempt"),ISNUMBER($F65)),"Yes","No"))</x:f>
      </x:c>
      <x:c r="S65" s="548" t="str">
        <x:f>IF($R65&lt;&gt;"Yes","",IF(COUNTIFS($B$5:$B65,$B65,$R$5:$R65,"Yes",$F$5:$F65,"&lt;"&amp;$F65)=0,IF(COUNTIFS($B$5:$B65,$B65,$R$5:$R65,"Yes",$F$5:$F65,$F65)=1,"NEW PB","TIED PB"),""))</x:f>
      </x:c>
    </x:row>
    <x:row r="66" ht="36" customHeight="1">
      <x:c r="A66" s="408"/>
      <x:c r="B66" s="318"/>
      <x:c r="C66" s="318"/>
      <x:c r="D66" s="318"/>
      <x:c r="E66" s="318"/>
      <x:c r="F66" s="409"/>
      <x:c r="G66" s="410"/>
      <x:c r="H66" s="410"/>
      <x:c r="I66" s="410"/>
      <x:c r="J66" s="318"/>
      <x:c r="K66" s="318"/>
      <x:c r="L66" s="318"/>
      <x:c r="M66" s="318"/>
      <x:c r="N66" s="410"/>
      <x:c r="O66" s="410"/>
      <x:c r="P66" s="318"/>
      <x:c r="Q66" s="319"/>
      <x:c r="R66" s="547" t="str">
        <x:f>IF($A66="","",IF(AND($E66="Completed",OR($D66="Full Run",$D66="No-Reset Run",$D66="PB Attempt"),ISNUMBER($F66)),"Yes","No"))</x:f>
      </x:c>
      <x:c r="S66" s="548" t="str">
        <x:f>IF($R66&lt;&gt;"Yes","",IF(COUNTIFS($B$5:$B66,$B66,$R$5:$R66,"Yes",$F$5:$F66,"&lt;"&amp;$F66)=0,IF(COUNTIFS($B$5:$B66,$B66,$R$5:$R66,"Yes",$F$5:$F66,$F66)=1,"NEW PB","TIED PB"),""))</x:f>
      </x:c>
    </x:row>
    <x:row r="67" ht="36" customHeight="1">
      <x:c r="A67" s="408"/>
      <x:c r="B67" s="318"/>
      <x:c r="C67" s="318"/>
      <x:c r="D67" s="318"/>
      <x:c r="E67" s="318"/>
      <x:c r="F67" s="409"/>
      <x:c r="G67" s="410"/>
      <x:c r="H67" s="410"/>
      <x:c r="I67" s="410"/>
      <x:c r="J67" s="318"/>
      <x:c r="K67" s="318"/>
      <x:c r="L67" s="318"/>
      <x:c r="M67" s="318"/>
      <x:c r="N67" s="410"/>
      <x:c r="O67" s="410"/>
      <x:c r="P67" s="318"/>
      <x:c r="Q67" s="319"/>
      <x:c r="R67" s="547" t="str">
        <x:f>IF($A67="","",IF(AND($E67="Completed",OR($D67="Full Run",$D67="No-Reset Run",$D67="PB Attempt"),ISNUMBER($F67)),"Yes","No"))</x:f>
      </x:c>
      <x:c r="S67" s="548" t="str">
        <x:f>IF($R67&lt;&gt;"Yes","",IF(COUNTIFS($B$5:$B67,$B67,$R$5:$R67,"Yes",$F$5:$F67,"&lt;"&amp;$F67)=0,IF(COUNTIFS($B$5:$B67,$B67,$R$5:$R67,"Yes",$F$5:$F67,$F67)=1,"NEW PB","TIED PB"),""))</x:f>
      </x:c>
    </x:row>
    <x:row r="68" ht="36" customHeight="1">
      <x:c r="A68" s="408"/>
      <x:c r="B68" s="318"/>
      <x:c r="C68" s="318"/>
      <x:c r="D68" s="318"/>
      <x:c r="E68" s="318"/>
      <x:c r="F68" s="409"/>
      <x:c r="G68" s="410"/>
      <x:c r="H68" s="410"/>
      <x:c r="I68" s="410"/>
      <x:c r="J68" s="318"/>
      <x:c r="K68" s="318"/>
      <x:c r="L68" s="318"/>
      <x:c r="M68" s="318"/>
      <x:c r="N68" s="410"/>
      <x:c r="O68" s="410"/>
      <x:c r="P68" s="318"/>
      <x:c r="Q68" s="319"/>
      <x:c r="R68" s="547" t="str">
        <x:f>IF($A68="","",IF(AND($E68="Completed",OR($D68="Full Run",$D68="No-Reset Run",$D68="PB Attempt"),ISNUMBER($F68)),"Yes","No"))</x:f>
      </x:c>
      <x:c r="S68" s="548" t="str">
        <x:f>IF($R68&lt;&gt;"Yes","",IF(COUNTIFS($B$5:$B68,$B68,$R$5:$R68,"Yes",$F$5:$F68,"&lt;"&amp;$F68)=0,IF(COUNTIFS($B$5:$B68,$B68,$R$5:$R68,"Yes",$F$5:$F68,$F68)=1,"NEW PB","TIED PB"),""))</x:f>
      </x:c>
    </x:row>
    <x:row r="69" ht="36" customHeight="1">
      <x:c r="A69" s="408"/>
      <x:c r="B69" s="318"/>
      <x:c r="C69" s="318"/>
      <x:c r="D69" s="318"/>
      <x:c r="E69" s="318"/>
      <x:c r="F69" s="409"/>
      <x:c r="G69" s="410"/>
      <x:c r="H69" s="410"/>
      <x:c r="I69" s="410"/>
      <x:c r="J69" s="318"/>
      <x:c r="K69" s="318"/>
      <x:c r="L69" s="318"/>
      <x:c r="M69" s="318"/>
      <x:c r="N69" s="410"/>
      <x:c r="O69" s="410"/>
      <x:c r="P69" s="318"/>
      <x:c r="Q69" s="319"/>
      <x:c r="R69" s="547" t="str">
        <x:f>IF($A69="","",IF(AND($E69="Completed",OR($D69="Full Run",$D69="No-Reset Run",$D69="PB Attempt"),ISNUMBER($F69)),"Yes","No"))</x:f>
      </x:c>
      <x:c r="S69" s="548" t="str">
        <x:f>IF($R69&lt;&gt;"Yes","",IF(COUNTIFS($B$5:$B69,$B69,$R$5:$R69,"Yes",$F$5:$F69,"&lt;"&amp;$F69)=0,IF(COUNTIFS($B$5:$B69,$B69,$R$5:$R69,"Yes",$F$5:$F69,$F69)=1,"NEW PB","TIED PB"),""))</x:f>
      </x:c>
    </x:row>
    <x:row r="70" ht="36" customHeight="1">
      <x:c r="A70" s="408"/>
      <x:c r="B70" s="318"/>
      <x:c r="C70" s="318"/>
      <x:c r="D70" s="318"/>
      <x:c r="E70" s="318"/>
      <x:c r="F70" s="409"/>
      <x:c r="G70" s="410"/>
      <x:c r="H70" s="410"/>
      <x:c r="I70" s="410"/>
      <x:c r="J70" s="318"/>
      <x:c r="K70" s="318"/>
      <x:c r="L70" s="318"/>
      <x:c r="M70" s="318"/>
      <x:c r="N70" s="410"/>
      <x:c r="O70" s="410"/>
      <x:c r="P70" s="318"/>
      <x:c r="Q70" s="319"/>
      <x:c r="R70" s="547" t="str">
        <x:f>IF($A70="","",IF(AND($E70="Completed",OR($D70="Full Run",$D70="No-Reset Run",$D70="PB Attempt"),ISNUMBER($F70)),"Yes","No"))</x:f>
      </x:c>
      <x:c r="S70" s="548" t="str">
        <x:f>IF($R70&lt;&gt;"Yes","",IF(COUNTIFS($B$5:$B70,$B70,$R$5:$R70,"Yes",$F$5:$F70,"&lt;"&amp;$F70)=0,IF(COUNTIFS($B$5:$B70,$B70,$R$5:$R70,"Yes",$F$5:$F70,$F70)=1,"NEW PB","TIED PB"),""))</x:f>
      </x:c>
    </x:row>
    <x:row r="71" ht="36" customHeight="1">
      <x:c r="A71" s="408"/>
      <x:c r="B71" s="318"/>
      <x:c r="C71" s="318"/>
      <x:c r="D71" s="318"/>
      <x:c r="E71" s="318"/>
      <x:c r="F71" s="409"/>
      <x:c r="G71" s="410"/>
      <x:c r="H71" s="410"/>
      <x:c r="I71" s="410"/>
      <x:c r="J71" s="318"/>
      <x:c r="K71" s="318"/>
      <x:c r="L71" s="318"/>
      <x:c r="M71" s="318"/>
      <x:c r="N71" s="410"/>
      <x:c r="O71" s="410"/>
      <x:c r="P71" s="318"/>
      <x:c r="Q71" s="319"/>
      <x:c r="R71" s="547" t="str">
        <x:f>IF($A71="","",IF(AND($E71="Completed",OR($D71="Full Run",$D71="No-Reset Run",$D71="PB Attempt"),ISNUMBER($F71)),"Yes","No"))</x:f>
      </x:c>
      <x:c r="S71" s="548" t="str">
        <x:f>IF($R71&lt;&gt;"Yes","",IF(COUNTIFS($B$5:$B71,$B71,$R$5:$R71,"Yes",$F$5:$F71,"&lt;"&amp;$F71)=0,IF(COUNTIFS($B$5:$B71,$B71,$R$5:$R71,"Yes",$F$5:$F71,$F71)=1,"NEW PB","TIED PB"),""))</x:f>
      </x:c>
    </x:row>
    <x:row r="72" ht="36" customHeight="1">
      <x:c r="A72" s="408"/>
      <x:c r="B72" s="318"/>
      <x:c r="C72" s="318"/>
      <x:c r="D72" s="318"/>
      <x:c r="E72" s="318"/>
      <x:c r="F72" s="409"/>
      <x:c r="G72" s="410"/>
      <x:c r="H72" s="410"/>
      <x:c r="I72" s="410"/>
      <x:c r="J72" s="318"/>
      <x:c r="K72" s="318"/>
      <x:c r="L72" s="318"/>
      <x:c r="M72" s="318"/>
      <x:c r="N72" s="410"/>
      <x:c r="O72" s="410"/>
      <x:c r="P72" s="318"/>
      <x:c r="Q72" s="319"/>
      <x:c r="R72" s="547" t="str">
        <x:f>IF($A72="","",IF(AND($E72="Completed",OR($D72="Full Run",$D72="No-Reset Run",$D72="PB Attempt"),ISNUMBER($F72)),"Yes","No"))</x:f>
      </x:c>
      <x:c r="S72" s="548" t="str">
        <x:f>IF($R72&lt;&gt;"Yes","",IF(COUNTIFS($B$5:$B72,$B72,$R$5:$R72,"Yes",$F$5:$F72,"&lt;"&amp;$F72)=0,IF(COUNTIFS($B$5:$B72,$B72,$R$5:$R72,"Yes",$F$5:$F72,$F72)=1,"NEW PB","TIED PB"),""))</x:f>
      </x:c>
    </x:row>
    <x:row r="73" ht="36" customHeight="1">
      <x:c r="A73" s="408"/>
      <x:c r="B73" s="318"/>
      <x:c r="C73" s="318"/>
      <x:c r="D73" s="318"/>
      <x:c r="E73" s="318"/>
      <x:c r="F73" s="409"/>
      <x:c r="G73" s="410"/>
      <x:c r="H73" s="410"/>
      <x:c r="I73" s="410"/>
      <x:c r="J73" s="318"/>
      <x:c r="K73" s="318"/>
      <x:c r="L73" s="318"/>
      <x:c r="M73" s="318"/>
      <x:c r="N73" s="410"/>
      <x:c r="O73" s="410"/>
      <x:c r="P73" s="318"/>
      <x:c r="Q73" s="319"/>
      <x:c r="R73" s="547" t="str">
        <x:f>IF($A73="","",IF(AND($E73="Completed",OR($D73="Full Run",$D73="No-Reset Run",$D73="PB Attempt"),ISNUMBER($F73)),"Yes","No"))</x:f>
      </x:c>
      <x:c r="S73" s="548" t="str">
        <x:f>IF($R73&lt;&gt;"Yes","",IF(COUNTIFS($B$5:$B73,$B73,$R$5:$R73,"Yes",$F$5:$F73,"&lt;"&amp;$F73)=0,IF(COUNTIFS($B$5:$B73,$B73,$R$5:$R73,"Yes",$F$5:$F73,$F73)=1,"NEW PB","TIED PB"),""))</x:f>
      </x:c>
    </x:row>
    <x:row r="74" ht="36" customHeight="1">
      <x:c r="A74" s="408"/>
      <x:c r="B74" s="318"/>
      <x:c r="C74" s="318"/>
      <x:c r="D74" s="318"/>
      <x:c r="E74" s="318"/>
      <x:c r="F74" s="409"/>
      <x:c r="G74" s="410"/>
      <x:c r="H74" s="410"/>
      <x:c r="I74" s="410"/>
      <x:c r="J74" s="318"/>
      <x:c r="K74" s="318"/>
      <x:c r="L74" s="318"/>
      <x:c r="M74" s="318"/>
      <x:c r="N74" s="410"/>
      <x:c r="O74" s="410"/>
      <x:c r="P74" s="318"/>
      <x:c r="Q74" s="319"/>
      <x:c r="R74" s="547" t="str">
        <x:f>IF($A74="","",IF(AND($E74="Completed",OR($D74="Full Run",$D74="No-Reset Run",$D74="PB Attempt"),ISNUMBER($F74)),"Yes","No"))</x:f>
      </x:c>
      <x:c r="S74" s="548" t="str">
        <x:f>IF($R74&lt;&gt;"Yes","",IF(COUNTIFS($B$5:$B74,$B74,$R$5:$R74,"Yes",$F$5:$F74,"&lt;"&amp;$F74)=0,IF(COUNTIFS($B$5:$B74,$B74,$R$5:$R74,"Yes",$F$5:$F74,$F74)=1,"NEW PB","TIED PB"),""))</x:f>
      </x:c>
    </x:row>
    <x:row r="75" ht="36" customHeight="1">
      <x:c r="A75" s="408"/>
      <x:c r="B75" s="318"/>
      <x:c r="C75" s="318"/>
      <x:c r="D75" s="318"/>
      <x:c r="E75" s="318"/>
      <x:c r="F75" s="409"/>
      <x:c r="G75" s="410"/>
      <x:c r="H75" s="410"/>
      <x:c r="I75" s="410"/>
      <x:c r="J75" s="318"/>
      <x:c r="K75" s="318"/>
      <x:c r="L75" s="318"/>
      <x:c r="M75" s="318"/>
      <x:c r="N75" s="410"/>
      <x:c r="O75" s="410"/>
      <x:c r="P75" s="318"/>
      <x:c r="Q75" s="319"/>
      <x:c r="R75" s="547" t="str">
        <x:f>IF($A75="","",IF(AND($E75="Completed",OR($D75="Full Run",$D75="No-Reset Run",$D75="PB Attempt"),ISNUMBER($F75)),"Yes","No"))</x:f>
      </x:c>
      <x:c r="S75" s="548" t="str">
        <x:f>IF($R75&lt;&gt;"Yes","",IF(COUNTIFS($B$5:$B75,$B75,$R$5:$R75,"Yes",$F$5:$F75,"&lt;"&amp;$F75)=0,IF(COUNTIFS($B$5:$B75,$B75,$R$5:$R75,"Yes",$F$5:$F75,$F75)=1,"NEW PB","TIED PB"),""))</x:f>
      </x:c>
    </x:row>
    <x:row r="76" ht="36" customHeight="1">
      <x:c r="A76" s="408"/>
      <x:c r="B76" s="318"/>
      <x:c r="C76" s="318"/>
      <x:c r="D76" s="318"/>
      <x:c r="E76" s="318"/>
      <x:c r="F76" s="409"/>
      <x:c r="G76" s="410"/>
      <x:c r="H76" s="410"/>
      <x:c r="I76" s="410"/>
      <x:c r="J76" s="318"/>
      <x:c r="K76" s="318"/>
      <x:c r="L76" s="318"/>
      <x:c r="M76" s="318"/>
      <x:c r="N76" s="410"/>
      <x:c r="O76" s="410"/>
      <x:c r="P76" s="318"/>
      <x:c r="Q76" s="319"/>
      <x:c r="R76" s="547" t="str">
        <x:f>IF($A76="","",IF(AND($E76="Completed",OR($D76="Full Run",$D76="No-Reset Run",$D76="PB Attempt"),ISNUMBER($F76)),"Yes","No"))</x:f>
      </x:c>
      <x:c r="S76" s="548" t="str">
        <x:f>IF($R76&lt;&gt;"Yes","",IF(COUNTIFS($B$5:$B76,$B76,$R$5:$R76,"Yes",$F$5:$F76,"&lt;"&amp;$F76)=0,IF(COUNTIFS($B$5:$B76,$B76,$R$5:$R76,"Yes",$F$5:$F76,$F76)=1,"NEW PB","TIED PB"),""))</x:f>
      </x:c>
    </x:row>
    <x:row r="77" ht="36" customHeight="1">
      <x:c r="A77" s="408"/>
      <x:c r="B77" s="318"/>
      <x:c r="C77" s="318"/>
      <x:c r="D77" s="318"/>
      <x:c r="E77" s="318"/>
      <x:c r="F77" s="409"/>
      <x:c r="G77" s="410"/>
      <x:c r="H77" s="410"/>
      <x:c r="I77" s="410"/>
      <x:c r="J77" s="318"/>
      <x:c r="K77" s="318"/>
      <x:c r="L77" s="318"/>
      <x:c r="M77" s="318"/>
      <x:c r="N77" s="410"/>
      <x:c r="O77" s="410"/>
      <x:c r="P77" s="318"/>
      <x:c r="Q77" s="319"/>
      <x:c r="R77" s="547" t="str">
        <x:f>IF($A77="","",IF(AND($E77="Completed",OR($D77="Full Run",$D77="No-Reset Run",$D77="PB Attempt"),ISNUMBER($F77)),"Yes","No"))</x:f>
      </x:c>
      <x:c r="S77" s="548" t="str">
        <x:f>IF($R77&lt;&gt;"Yes","",IF(COUNTIFS($B$5:$B77,$B77,$R$5:$R77,"Yes",$F$5:$F77,"&lt;"&amp;$F77)=0,IF(COUNTIFS($B$5:$B77,$B77,$R$5:$R77,"Yes",$F$5:$F77,$F77)=1,"NEW PB","TIED PB"),""))</x:f>
      </x:c>
    </x:row>
    <x:row r="78" ht="36" customHeight="1">
      <x:c r="A78" s="408"/>
      <x:c r="B78" s="318"/>
      <x:c r="C78" s="318"/>
      <x:c r="D78" s="318"/>
      <x:c r="E78" s="318"/>
      <x:c r="F78" s="409"/>
      <x:c r="G78" s="410"/>
      <x:c r="H78" s="410"/>
      <x:c r="I78" s="410"/>
      <x:c r="J78" s="318"/>
      <x:c r="K78" s="318"/>
      <x:c r="L78" s="318"/>
      <x:c r="M78" s="318"/>
      <x:c r="N78" s="410"/>
      <x:c r="O78" s="410"/>
      <x:c r="P78" s="318"/>
      <x:c r="Q78" s="319"/>
      <x:c r="R78" s="547" t="str">
        <x:f>IF($A78="","",IF(AND($E78="Completed",OR($D78="Full Run",$D78="No-Reset Run",$D78="PB Attempt"),ISNUMBER($F78)),"Yes","No"))</x:f>
      </x:c>
      <x:c r="S78" s="548" t="str">
        <x:f>IF($R78&lt;&gt;"Yes","",IF(COUNTIFS($B$5:$B78,$B78,$R$5:$R78,"Yes",$F$5:$F78,"&lt;"&amp;$F78)=0,IF(COUNTIFS($B$5:$B78,$B78,$R$5:$R78,"Yes",$F$5:$F78,$F78)=1,"NEW PB","TIED PB"),""))</x:f>
      </x:c>
    </x:row>
    <x:row r="79" ht="36" customHeight="1">
      <x:c r="A79" s="408"/>
      <x:c r="B79" s="318"/>
      <x:c r="C79" s="318"/>
      <x:c r="D79" s="318"/>
      <x:c r="E79" s="318"/>
      <x:c r="F79" s="409"/>
      <x:c r="G79" s="410"/>
      <x:c r="H79" s="410"/>
      <x:c r="I79" s="410"/>
      <x:c r="J79" s="318"/>
      <x:c r="K79" s="318"/>
      <x:c r="L79" s="318"/>
      <x:c r="M79" s="318"/>
      <x:c r="N79" s="410"/>
      <x:c r="O79" s="410"/>
      <x:c r="P79" s="318"/>
      <x:c r="Q79" s="319"/>
      <x:c r="R79" s="547" t="str">
        <x:f>IF($A79="","",IF(AND($E79="Completed",OR($D79="Full Run",$D79="No-Reset Run",$D79="PB Attempt"),ISNUMBER($F79)),"Yes","No"))</x:f>
      </x:c>
      <x:c r="S79" s="548" t="str">
        <x:f>IF($R79&lt;&gt;"Yes","",IF(COUNTIFS($B$5:$B79,$B79,$R$5:$R79,"Yes",$F$5:$F79,"&lt;"&amp;$F79)=0,IF(COUNTIFS($B$5:$B79,$B79,$R$5:$R79,"Yes",$F$5:$F79,$F79)=1,"NEW PB","TIED PB"),""))</x:f>
      </x:c>
    </x:row>
    <x:row r="80" ht="36" customHeight="1">
      <x:c r="A80" s="408"/>
      <x:c r="B80" s="318"/>
      <x:c r="C80" s="318"/>
      <x:c r="D80" s="318"/>
      <x:c r="E80" s="318"/>
      <x:c r="F80" s="409"/>
      <x:c r="G80" s="410"/>
      <x:c r="H80" s="410"/>
      <x:c r="I80" s="410"/>
      <x:c r="J80" s="318"/>
      <x:c r="K80" s="318"/>
      <x:c r="L80" s="318"/>
      <x:c r="M80" s="318"/>
      <x:c r="N80" s="410"/>
      <x:c r="O80" s="410"/>
      <x:c r="P80" s="318"/>
      <x:c r="Q80" s="319"/>
      <x:c r="R80" s="547" t="str">
        <x:f>IF($A80="","",IF(AND($E80="Completed",OR($D80="Full Run",$D80="No-Reset Run",$D80="PB Attempt"),ISNUMBER($F80)),"Yes","No"))</x:f>
      </x:c>
      <x:c r="S80" s="548" t="str">
        <x:f>IF($R80&lt;&gt;"Yes","",IF(COUNTIFS($B$5:$B80,$B80,$R$5:$R80,"Yes",$F$5:$F80,"&lt;"&amp;$F80)=0,IF(COUNTIFS($B$5:$B80,$B80,$R$5:$R80,"Yes",$F$5:$F80,$F80)=1,"NEW PB","TIED PB"),""))</x:f>
      </x:c>
    </x:row>
    <x:row r="81" ht="36" customHeight="1">
      <x:c r="A81" s="408"/>
      <x:c r="B81" s="318"/>
      <x:c r="C81" s="318"/>
      <x:c r="D81" s="318"/>
      <x:c r="E81" s="318"/>
      <x:c r="F81" s="409"/>
      <x:c r="G81" s="410"/>
      <x:c r="H81" s="410"/>
      <x:c r="I81" s="410"/>
      <x:c r="J81" s="318"/>
      <x:c r="K81" s="318"/>
      <x:c r="L81" s="318"/>
      <x:c r="M81" s="318"/>
      <x:c r="N81" s="410"/>
      <x:c r="O81" s="410"/>
      <x:c r="P81" s="318"/>
      <x:c r="Q81" s="319"/>
      <x:c r="R81" s="547" t="str">
        <x:f>IF($A81="","",IF(AND($E81="Completed",OR($D81="Full Run",$D81="No-Reset Run",$D81="PB Attempt"),ISNUMBER($F81)),"Yes","No"))</x:f>
      </x:c>
      <x:c r="S81" s="548" t="str">
        <x:f>IF($R81&lt;&gt;"Yes","",IF(COUNTIFS($B$5:$B81,$B81,$R$5:$R81,"Yes",$F$5:$F81,"&lt;"&amp;$F81)=0,IF(COUNTIFS($B$5:$B81,$B81,$R$5:$R81,"Yes",$F$5:$F81,$F81)=1,"NEW PB","TIED PB"),""))</x:f>
      </x:c>
    </x:row>
    <x:row r="82" ht="36" customHeight="1">
      <x:c r="A82" s="408"/>
      <x:c r="B82" s="318"/>
      <x:c r="C82" s="318"/>
      <x:c r="D82" s="318"/>
      <x:c r="E82" s="318"/>
      <x:c r="F82" s="409"/>
      <x:c r="G82" s="410"/>
      <x:c r="H82" s="410"/>
      <x:c r="I82" s="410"/>
      <x:c r="J82" s="318"/>
      <x:c r="K82" s="318"/>
      <x:c r="L82" s="318"/>
      <x:c r="M82" s="318"/>
      <x:c r="N82" s="410"/>
      <x:c r="O82" s="410"/>
      <x:c r="P82" s="318"/>
      <x:c r="Q82" s="319"/>
      <x:c r="R82" s="547" t="str">
        <x:f>IF($A82="","",IF(AND($E82="Completed",OR($D82="Full Run",$D82="No-Reset Run",$D82="PB Attempt"),ISNUMBER($F82)),"Yes","No"))</x:f>
      </x:c>
      <x:c r="S82" s="548" t="str">
        <x:f>IF($R82&lt;&gt;"Yes","",IF(COUNTIFS($B$5:$B82,$B82,$R$5:$R82,"Yes",$F$5:$F82,"&lt;"&amp;$F82)=0,IF(COUNTIFS($B$5:$B82,$B82,$R$5:$R82,"Yes",$F$5:$F82,$F82)=1,"NEW PB","TIED PB"),""))</x:f>
      </x:c>
    </x:row>
    <x:row r="83" ht="36" customHeight="1">
      <x:c r="A83" s="408"/>
      <x:c r="B83" s="318"/>
      <x:c r="C83" s="318"/>
      <x:c r="D83" s="318"/>
      <x:c r="E83" s="318"/>
      <x:c r="F83" s="409"/>
      <x:c r="G83" s="410"/>
      <x:c r="H83" s="410"/>
      <x:c r="I83" s="410"/>
      <x:c r="J83" s="318"/>
      <x:c r="K83" s="318"/>
      <x:c r="L83" s="318"/>
      <x:c r="M83" s="318"/>
      <x:c r="N83" s="410"/>
      <x:c r="O83" s="410"/>
      <x:c r="P83" s="318"/>
      <x:c r="Q83" s="319"/>
      <x:c r="R83" s="547" t="str">
        <x:f>IF($A83="","",IF(AND($E83="Completed",OR($D83="Full Run",$D83="No-Reset Run",$D83="PB Attempt"),ISNUMBER($F83)),"Yes","No"))</x:f>
      </x:c>
      <x:c r="S83" s="548" t="str">
        <x:f>IF($R83&lt;&gt;"Yes","",IF(COUNTIFS($B$5:$B83,$B83,$R$5:$R83,"Yes",$F$5:$F83,"&lt;"&amp;$F83)=0,IF(COUNTIFS($B$5:$B83,$B83,$R$5:$R83,"Yes",$F$5:$F83,$F83)=1,"NEW PB","TIED PB"),""))</x:f>
      </x:c>
    </x:row>
    <x:row r="84" ht="36" customHeight="1">
      <x:c r="A84" s="408"/>
      <x:c r="B84" s="318"/>
      <x:c r="C84" s="318"/>
      <x:c r="D84" s="318"/>
      <x:c r="E84" s="318"/>
      <x:c r="F84" s="409"/>
      <x:c r="G84" s="410"/>
      <x:c r="H84" s="410"/>
      <x:c r="I84" s="410"/>
      <x:c r="J84" s="318"/>
      <x:c r="K84" s="318"/>
      <x:c r="L84" s="318"/>
      <x:c r="M84" s="318"/>
      <x:c r="N84" s="410"/>
      <x:c r="O84" s="410"/>
      <x:c r="P84" s="318"/>
      <x:c r="Q84" s="319"/>
      <x:c r="R84" s="547" t="str">
        <x:f>IF($A84="","",IF(AND($E84="Completed",OR($D84="Full Run",$D84="No-Reset Run",$D84="PB Attempt"),ISNUMBER($F84)),"Yes","No"))</x:f>
      </x:c>
      <x:c r="S84" s="548" t="str">
        <x:f>IF($R84&lt;&gt;"Yes","",IF(COUNTIFS($B$5:$B84,$B84,$R$5:$R84,"Yes",$F$5:$F84,"&lt;"&amp;$F84)=0,IF(COUNTIFS($B$5:$B84,$B84,$R$5:$R84,"Yes",$F$5:$F84,$F84)=1,"NEW PB","TIED PB"),""))</x:f>
      </x:c>
    </x:row>
    <x:row r="85" ht="36" customHeight="1">
      <x:c r="A85" s="408"/>
      <x:c r="B85" s="318"/>
      <x:c r="C85" s="318"/>
      <x:c r="D85" s="318"/>
      <x:c r="E85" s="318"/>
      <x:c r="F85" s="409"/>
      <x:c r="G85" s="410"/>
      <x:c r="H85" s="410"/>
      <x:c r="I85" s="410"/>
      <x:c r="J85" s="318"/>
      <x:c r="K85" s="318"/>
      <x:c r="L85" s="318"/>
      <x:c r="M85" s="318"/>
      <x:c r="N85" s="410"/>
      <x:c r="O85" s="410"/>
      <x:c r="P85" s="318"/>
      <x:c r="Q85" s="319"/>
      <x:c r="R85" s="547" t="str">
        <x:f>IF($A85="","",IF(AND($E85="Completed",OR($D85="Full Run",$D85="No-Reset Run",$D85="PB Attempt"),ISNUMBER($F85)),"Yes","No"))</x:f>
      </x:c>
      <x:c r="S85" s="548" t="str">
        <x:f>IF($R85&lt;&gt;"Yes","",IF(COUNTIFS($B$5:$B85,$B85,$R$5:$R85,"Yes",$F$5:$F85,"&lt;"&amp;$F85)=0,IF(COUNTIFS($B$5:$B85,$B85,$R$5:$R85,"Yes",$F$5:$F85,$F85)=1,"NEW PB","TIED PB"),""))</x:f>
      </x:c>
    </x:row>
    <x:row r="86" ht="36" customHeight="1">
      <x:c r="A86" s="408"/>
      <x:c r="B86" s="318"/>
      <x:c r="C86" s="318"/>
      <x:c r="D86" s="318"/>
      <x:c r="E86" s="318"/>
      <x:c r="F86" s="409"/>
      <x:c r="G86" s="410"/>
      <x:c r="H86" s="410"/>
      <x:c r="I86" s="410"/>
      <x:c r="J86" s="318"/>
      <x:c r="K86" s="318"/>
      <x:c r="L86" s="318"/>
      <x:c r="M86" s="318"/>
      <x:c r="N86" s="410"/>
      <x:c r="O86" s="410"/>
      <x:c r="P86" s="318"/>
      <x:c r="Q86" s="319"/>
      <x:c r="R86" s="547" t="str">
        <x:f>IF($A86="","",IF(AND($E86="Completed",OR($D86="Full Run",$D86="No-Reset Run",$D86="PB Attempt"),ISNUMBER($F86)),"Yes","No"))</x:f>
      </x:c>
      <x:c r="S86" s="548" t="str">
        <x:f>IF($R86&lt;&gt;"Yes","",IF(COUNTIFS($B$5:$B86,$B86,$R$5:$R86,"Yes",$F$5:$F86,"&lt;"&amp;$F86)=0,IF(COUNTIFS($B$5:$B86,$B86,$R$5:$R86,"Yes",$F$5:$F86,$F86)=1,"NEW PB","TIED PB"),""))</x:f>
      </x:c>
    </x:row>
    <x:row r="87" ht="36" customHeight="1">
      <x:c r="A87" s="408"/>
      <x:c r="B87" s="318"/>
      <x:c r="C87" s="318"/>
      <x:c r="D87" s="318"/>
      <x:c r="E87" s="318"/>
      <x:c r="F87" s="409"/>
      <x:c r="G87" s="410"/>
      <x:c r="H87" s="410"/>
      <x:c r="I87" s="410"/>
      <x:c r="J87" s="318"/>
      <x:c r="K87" s="318"/>
      <x:c r="L87" s="318"/>
      <x:c r="M87" s="318"/>
      <x:c r="N87" s="410"/>
      <x:c r="O87" s="410"/>
      <x:c r="P87" s="318"/>
      <x:c r="Q87" s="319"/>
      <x:c r="R87" s="547" t="str">
        <x:f>IF($A87="","",IF(AND($E87="Completed",OR($D87="Full Run",$D87="No-Reset Run",$D87="PB Attempt"),ISNUMBER($F87)),"Yes","No"))</x:f>
      </x:c>
      <x:c r="S87" s="548" t="str">
        <x:f>IF($R87&lt;&gt;"Yes","",IF(COUNTIFS($B$5:$B87,$B87,$R$5:$R87,"Yes",$F$5:$F87,"&lt;"&amp;$F87)=0,IF(COUNTIFS($B$5:$B87,$B87,$R$5:$R87,"Yes",$F$5:$F87,$F87)=1,"NEW PB","TIED PB"),""))</x:f>
      </x:c>
    </x:row>
    <x:row r="88" ht="36" customHeight="1">
      <x:c r="A88" s="408"/>
      <x:c r="B88" s="318"/>
      <x:c r="C88" s="318"/>
      <x:c r="D88" s="318"/>
      <x:c r="E88" s="318"/>
      <x:c r="F88" s="409"/>
      <x:c r="G88" s="410"/>
      <x:c r="H88" s="410"/>
      <x:c r="I88" s="410"/>
      <x:c r="J88" s="318"/>
      <x:c r="K88" s="318"/>
      <x:c r="L88" s="318"/>
      <x:c r="M88" s="318"/>
      <x:c r="N88" s="410"/>
      <x:c r="O88" s="410"/>
      <x:c r="P88" s="318"/>
      <x:c r="Q88" s="319"/>
      <x:c r="R88" s="547" t="str">
        <x:f>IF($A88="","",IF(AND($E88="Completed",OR($D88="Full Run",$D88="No-Reset Run",$D88="PB Attempt"),ISNUMBER($F88)),"Yes","No"))</x:f>
      </x:c>
      <x:c r="S88" s="548" t="str">
        <x:f>IF($R88&lt;&gt;"Yes","",IF(COUNTIFS($B$5:$B88,$B88,$R$5:$R88,"Yes",$F$5:$F88,"&lt;"&amp;$F88)=0,IF(COUNTIFS($B$5:$B88,$B88,$R$5:$R88,"Yes",$F$5:$F88,$F88)=1,"NEW PB","TIED PB"),""))</x:f>
      </x:c>
    </x:row>
    <x:row r="89" ht="36" customHeight="1">
      <x:c r="A89" s="408"/>
      <x:c r="B89" s="318"/>
      <x:c r="C89" s="318"/>
      <x:c r="D89" s="318"/>
      <x:c r="E89" s="318"/>
      <x:c r="F89" s="409"/>
      <x:c r="G89" s="410"/>
      <x:c r="H89" s="410"/>
      <x:c r="I89" s="410"/>
      <x:c r="J89" s="318"/>
      <x:c r="K89" s="318"/>
      <x:c r="L89" s="318"/>
      <x:c r="M89" s="318"/>
      <x:c r="N89" s="410"/>
      <x:c r="O89" s="410"/>
      <x:c r="P89" s="318"/>
      <x:c r="Q89" s="319"/>
      <x:c r="R89" s="547" t="str">
        <x:f>IF($A89="","",IF(AND($E89="Completed",OR($D89="Full Run",$D89="No-Reset Run",$D89="PB Attempt"),ISNUMBER($F89)),"Yes","No"))</x:f>
      </x:c>
      <x:c r="S89" s="548" t="str">
        <x:f>IF($R89&lt;&gt;"Yes","",IF(COUNTIFS($B$5:$B89,$B89,$R$5:$R89,"Yes",$F$5:$F89,"&lt;"&amp;$F89)=0,IF(COUNTIFS($B$5:$B89,$B89,$R$5:$R89,"Yes",$F$5:$F89,$F89)=1,"NEW PB","TIED PB"),""))</x:f>
      </x:c>
    </x:row>
    <x:row r="90" ht="36" customHeight="1">
      <x:c r="A90" s="408"/>
      <x:c r="B90" s="318"/>
      <x:c r="C90" s="318"/>
      <x:c r="D90" s="318"/>
      <x:c r="E90" s="318"/>
      <x:c r="F90" s="409"/>
      <x:c r="G90" s="410"/>
      <x:c r="H90" s="410"/>
      <x:c r="I90" s="410"/>
      <x:c r="J90" s="318"/>
      <x:c r="K90" s="318"/>
      <x:c r="L90" s="318"/>
      <x:c r="M90" s="318"/>
      <x:c r="N90" s="410"/>
      <x:c r="O90" s="410"/>
      <x:c r="P90" s="318"/>
      <x:c r="Q90" s="319"/>
      <x:c r="R90" s="547" t="str">
        <x:f>IF($A90="","",IF(AND($E90="Completed",OR($D90="Full Run",$D90="No-Reset Run",$D90="PB Attempt"),ISNUMBER($F90)),"Yes","No"))</x:f>
      </x:c>
      <x:c r="S90" s="548" t="str">
        <x:f>IF($R90&lt;&gt;"Yes","",IF(COUNTIFS($B$5:$B90,$B90,$R$5:$R90,"Yes",$F$5:$F90,"&lt;"&amp;$F90)=0,IF(COUNTIFS($B$5:$B90,$B90,$R$5:$R90,"Yes",$F$5:$F90,$F90)=1,"NEW PB","TIED PB"),""))</x:f>
      </x:c>
    </x:row>
    <x:row r="91" ht="36" customHeight="1">
      <x:c r="A91" s="408"/>
      <x:c r="B91" s="318"/>
      <x:c r="C91" s="318"/>
      <x:c r="D91" s="318"/>
      <x:c r="E91" s="318"/>
      <x:c r="F91" s="409"/>
      <x:c r="G91" s="410"/>
      <x:c r="H91" s="410"/>
      <x:c r="I91" s="410"/>
      <x:c r="J91" s="318"/>
      <x:c r="K91" s="318"/>
      <x:c r="L91" s="318"/>
      <x:c r="M91" s="318"/>
      <x:c r="N91" s="410"/>
      <x:c r="O91" s="410"/>
      <x:c r="P91" s="318"/>
      <x:c r="Q91" s="319"/>
      <x:c r="R91" s="547" t="str">
        <x:f>IF($A91="","",IF(AND($E91="Completed",OR($D91="Full Run",$D91="No-Reset Run",$D91="PB Attempt"),ISNUMBER($F91)),"Yes","No"))</x:f>
      </x:c>
      <x:c r="S91" s="548" t="str">
        <x:f>IF($R91&lt;&gt;"Yes","",IF(COUNTIFS($B$5:$B91,$B91,$R$5:$R91,"Yes",$F$5:$F91,"&lt;"&amp;$F91)=0,IF(COUNTIFS($B$5:$B91,$B91,$R$5:$R91,"Yes",$F$5:$F91,$F91)=1,"NEW PB","TIED PB"),""))</x:f>
      </x:c>
    </x:row>
    <x:row r="92" ht="36" customHeight="1">
      <x:c r="A92" s="408"/>
      <x:c r="B92" s="318"/>
      <x:c r="C92" s="318"/>
      <x:c r="D92" s="318"/>
      <x:c r="E92" s="318"/>
      <x:c r="F92" s="409"/>
      <x:c r="G92" s="410"/>
      <x:c r="H92" s="410"/>
      <x:c r="I92" s="410"/>
      <x:c r="J92" s="318"/>
      <x:c r="K92" s="318"/>
      <x:c r="L92" s="318"/>
      <x:c r="M92" s="318"/>
      <x:c r="N92" s="410"/>
      <x:c r="O92" s="410"/>
      <x:c r="P92" s="318"/>
      <x:c r="Q92" s="319"/>
      <x:c r="R92" s="547" t="str">
        <x:f>IF($A92="","",IF(AND($E92="Completed",OR($D92="Full Run",$D92="No-Reset Run",$D92="PB Attempt"),ISNUMBER($F92)),"Yes","No"))</x:f>
      </x:c>
      <x:c r="S92" s="548" t="str">
        <x:f>IF($R92&lt;&gt;"Yes","",IF(COUNTIFS($B$5:$B92,$B92,$R$5:$R92,"Yes",$F$5:$F92,"&lt;"&amp;$F92)=0,IF(COUNTIFS($B$5:$B92,$B92,$R$5:$R92,"Yes",$F$5:$F92,$F92)=1,"NEW PB","TIED PB"),""))</x:f>
      </x:c>
    </x:row>
    <x:row r="93" ht="36" customHeight="1">
      <x:c r="A93" s="408"/>
      <x:c r="B93" s="318"/>
      <x:c r="C93" s="318"/>
      <x:c r="D93" s="318"/>
      <x:c r="E93" s="318"/>
      <x:c r="F93" s="409"/>
      <x:c r="G93" s="410"/>
      <x:c r="H93" s="410"/>
      <x:c r="I93" s="410"/>
      <x:c r="J93" s="318"/>
      <x:c r="K93" s="318"/>
      <x:c r="L93" s="318"/>
      <x:c r="M93" s="318"/>
      <x:c r="N93" s="410"/>
      <x:c r="O93" s="410"/>
      <x:c r="P93" s="318"/>
      <x:c r="Q93" s="319"/>
      <x:c r="R93" s="547" t="str">
        <x:f>IF($A93="","",IF(AND($E93="Completed",OR($D93="Full Run",$D93="No-Reset Run",$D93="PB Attempt"),ISNUMBER($F93)),"Yes","No"))</x:f>
      </x:c>
      <x:c r="S93" s="548" t="str">
        <x:f>IF($R93&lt;&gt;"Yes","",IF(COUNTIFS($B$5:$B93,$B93,$R$5:$R93,"Yes",$F$5:$F93,"&lt;"&amp;$F93)=0,IF(COUNTIFS($B$5:$B93,$B93,$R$5:$R93,"Yes",$F$5:$F93,$F93)=1,"NEW PB","TIED PB"),""))</x:f>
      </x:c>
    </x:row>
    <x:row r="94" ht="36" customHeight="1">
      <x:c r="A94" s="408"/>
      <x:c r="B94" s="318"/>
      <x:c r="C94" s="318"/>
      <x:c r="D94" s="318"/>
      <x:c r="E94" s="318"/>
      <x:c r="F94" s="409"/>
      <x:c r="G94" s="410"/>
      <x:c r="H94" s="410"/>
      <x:c r="I94" s="410"/>
      <x:c r="J94" s="318"/>
      <x:c r="K94" s="318"/>
      <x:c r="L94" s="318"/>
      <x:c r="M94" s="318"/>
      <x:c r="N94" s="410"/>
      <x:c r="O94" s="410"/>
      <x:c r="P94" s="318"/>
      <x:c r="Q94" s="319"/>
      <x:c r="R94" s="547" t="str">
        <x:f>IF($A94="","",IF(AND($E94="Completed",OR($D94="Full Run",$D94="No-Reset Run",$D94="PB Attempt"),ISNUMBER($F94)),"Yes","No"))</x:f>
      </x:c>
      <x:c r="S94" s="548" t="str">
        <x:f>IF($R94&lt;&gt;"Yes","",IF(COUNTIFS($B$5:$B94,$B94,$R$5:$R94,"Yes",$F$5:$F94,"&lt;"&amp;$F94)=0,IF(COUNTIFS($B$5:$B94,$B94,$R$5:$R94,"Yes",$F$5:$F94,$F94)=1,"NEW PB","TIED PB"),""))</x:f>
      </x:c>
    </x:row>
    <x:row r="95" ht="36" customHeight="1">
      <x:c r="A95" s="408"/>
      <x:c r="B95" s="318"/>
      <x:c r="C95" s="318"/>
      <x:c r="D95" s="318"/>
      <x:c r="E95" s="318"/>
      <x:c r="F95" s="409"/>
      <x:c r="G95" s="410"/>
      <x:c r="H95" s="410"/>
      <x:c r="I95" s="410"/>
      <x:c r="J95" s="318"/>
      <x:c r="K95" s="318"/>
      <x:c r="L95" s="318"/>
      <x:c r="M95" s="318"/>
      <x:c r="N95" s="410"/>
      <x:c r="O95" s="410"/>
      <x:c r="P95" s="318"/>
      <x:c r="Q95" s="319"/>
      <x:c r="R95" s="547" t="str">
        <x:f>IF($A95="","",IF(AND($E95="Completed",OR($D95="Full Run",$D95="No-Reset Run",$D95="PB Attempt"),ISNUMBER($F95)),"Yes","No"))</x:f>
      </x:c>
      <x:c r="S95" s="548" t="str">
        <x:f>IF($R95&lt;&gt;"Yes","",IF(COUNTIFS($B$5:$B95,$B95,$R$5:$R95,"Yes",$F$5:$F95,"&lt;"&amp;$F95)=0,IF(COUNTIFS($B$5:$B95,$B95,$R$5:$R95,"Yes",$F$5:$F95,$F95)=1,"NEW PB","TIED PB"),""))</x:f>
      </x:c>
    </x:row>
    <x:row r="96" ht="36" customHeight="1">
      <x:c r="A96" s="408"/>
      <x:c r="B96" s="318"/>
      <x:c r="C96" s="318"/>
      <x:c r="D96" s="318"/>
      <x:c r="E96" s="318"/>
      <x:c r="F96" s="409"/>
      <x:c r="G96" s="410"/>
      <x:c r="H96" s="410"/>
      <x:c r="I96" s="410"/>
      <x:c r="J96" s="318"/>
      <x:c r="K96" s="318"/>
      <x:c r="L96" s="318"/>
      <x:c r="M96" s="318"/>
      <x:c r="N96" s="410"/>
      <x:c r="O96" s="410"/>
      <x:c r="P96" s="318"/>
      <x:c r="Q96" s="319"/>
      <x:c r="R96" s="547" t="str">
        <x:f>IF($A96="","",IF(AND($E96="Completed",OR($D96="Full Run",$D96="No-Reset Run",$D96="PB Attempt"),ISNUMBER($F96)),"Yes","No"))</x:f>
      </x:c>
      <x:c r="S96" s="548" t="str">
        <x:f>IF($R96&lt;&gt;"Yes","",IF(COUNTIFS($B$5:$B96,$B96,$R$5:$R96,"Yes",$F$5:$F96,"&lt;"&amp;$F96)=0,IF(COUNTIFS($B$5:$B96,$B96,$R$5:$R96,"Yes",$F$5:$F96,$F96)=1,"NEW PB","TIED PB"),""))</x:f>
      </x:c>
    </x:row>
    <x:row r="97" ht="36" customHeight="1">
      <x:c r="A97" s="408"/>
      <x:c r="B97" s="318"/>
      <x:c r="C97" s="318"/>
      <x:c r="D97" s="318"/>
      <x:c r="E97" s="318"/>
      <x:c r="F97" s="409"/>
      <x:c r="G97" s="410"/>
      <x:c r="H97" s="410"/>
      <x:c r="I97" s="410"/>
      <x:c r="J97" s="318"/>
      <x:c r="K97" s="318"/>
      <x:c r="L97" s="318"/>
      <x:c r="M97" s="318"/>
      <x:c r="N97" s="410"/>
      <x:c r="O97" s="410"/>
      <x:c r="P97" s="318"/>
      <x:c r="Q97" s="319"/>
      <x:c r="R97" s="547" t="str">
        <x:f>IF($A97="","",IF(AND($E97="Completed",OR($D97="Full Run",$D97="No-Reset Run",$D97="PB Attempt"),ISNUMBER($F97)),"Yes","No"))</x:f>
      </x:c>
      <x:c r="S97" s="548" t="str">
        <x:f>IF($R97&lt;&gt;"Yes","",IF(COUNTIFS($B$5:$B97,$B97,$R$5:$R97,"Yes",$F$5:$F97,"&lt;"&amp;$F97)=0,IF(COUNTIFS($B$5:$B97,$B97,$R$5:$R97,"Yes",$F$5:$F97,$F97)=1,"NEW PB","TIED PB"),""))</x:f>
      </x:c>
    </x:row>
    <x:row r="98" ht="36" customHeight="1">
      <x:c r="A98" s="408"/>
      <x:c r="B98" s="318"/>
      <x:c r="C98" s="318"/>
      <x:c r="D98" s="318"/>
      <x:c r="E98" s="318"/>
      <x:c r="F98" s="409"/>
      <x:c r="G98" s="410"/>
      <x:c r="H98" s="410"/>
      <x:c r="I98" s="410"/>
      <x:c r="J98" s="318"/>
      <x:c r="K98" s="318"/>
      <x:c r="L98" s="318"/>
      <x:c r="M98" s="318"/>
      <x:c r="N98" s="410"/>
      <x:c r="O98" s="410"/>
      <x:c r="P98" s="318"/>
      <x:c r="Q98" s="319"/>
      <x:c r="R98" s="547" t="str">
        <x:f>IF($A98="","",IF(AND($E98="Completed",OR($D98="Full Run",$D98="No-Reset Run",$D98="PB Attempt"),ISNUMBER($F98)),"Yes","No"))</x:f>
      </x:c>
      <x:c r="S98" s="548" t="str">
        <x:f>IF($R98&lt;&gt;"Yes","",IF(COUNTIFS($B$5:$B98,$B98,$R$5:$R98,"Yes",$F$5:$F98,"&lt;"&amp;$F98)=0,IF(COUNTIFS($B$5:$B98,$B98,$R$5:$R98,"Yes",$F$5:$F98,$F98)=1,"NEW PB","TIED PB"),""))</x:f>
      </x:c>
    </x:row>
    <x:row r="99" ht="36" customHeight="1">
      <x:c r="A99" s="408"/>
      <x:c r="B99" s="318"/>
      <x:c r="C99" s="318"/>
      <x:c r="D99" s="318"/>
      <x:c r="E99" s="318"/>
      <x:c r="F99" s="409"/>
      <x:c r="G99" s="410"/>
      <x:c r="H99" s="410"/>
      <x:c r="I99" s="410"/>
      <x:c r="J99" s="318"/>
      <x:c r="K99" s="318"/>
      <x:c r="L99" s="318"/>
      <x:c r="M99" s="318"/>
      <x:c r="N99" s="410"/>
      <x:c r="O99" s="410"/>
      <x:c r="P99" s="318"/>
      <x:c r="Q99" s="319"/>
      <x:c r="R99" s="547" t="str">
        <x:f>IF($A99="","",IF(AND($E99="Completed",OR($D99="Full Run",$D99="No-Reset Run",$D99="PB Attempt"),ISNUMBER($F99)),"Yes","No"))</x:f>
      </x:c>
      <x:c r="S99" s="548" t="str">
        <x:f>IF($R99&lt;&gt;"Yes","",IF(COUNTIFS($B$5:$B99,$B99,$R$5:$R99,"Yes",$F$5:$F99,"&lt;"&amp;$F99)=0,IF(COUNTIFS($B$5:$B99,$B99,$R$5:$R99,"Yes",$F$5:$F99,$F99)=1,"NEW PB","TIED PB"),""))</x:f>
      </x:c>
    </x:row>
    <x:row r="100" ht="36" customHeight="1">
      <x:c r="A100" s="408"/>
      <x:c r="B100" s="318"/>
      <x:c r="C100" s="318"/>
      <x:c r="D100" s="318"/>
      <x:c r="E100" s="318"/>
      <x:c r="F100" s="409"/>
      <x:c r="G100" s="410"/>
      <x:c r="H100" s="410"/>
      <x:c r="I100" s="410"/>
      <x:c r="J100" s="318"/>
      <x:c r="K100" s="318"/>
      <x:c r="L100" s="318"/>
      <x:c r="M100" s="318"/>
      <x:c r="N100" s="410"/>
      <x:c r="O100" s="410"/>
      <x:c r="P100" s="318"/>
      <x:c r="Q100" s="319"/>
      <x:c r="R100" s="547" t="str">
        <x:f>IF($A100="","",IF(AND($E100="Completed",OR($D100="Full Run",$D100="No-Reset Run",$D100="PB Attempt"),ISNUMBER($F100)),"Yes","No"))</x:f>
      </x:c>
      <x:c r="S100" s="548" t="str">
        <x:f>IF($R100&lt;&gt;"Yes","",IF(COUNTIFS($B$5:$B100,$B100,$R$5:$R100,"Yes",$F$5:$F100,"&lt;"&amp;$F100)=0,IF(COUNTIFS($B$5:$B100,$B100,$R$5:$R100,"Yes",$F$5:$F100,$F100)=1,"NEW PB","TIED PB"),""))</x:f>
      </x:c>
    </x:row>
    <x:row r="101" ht="36" customHeight="1">
      <x:c r="A101" s="408"/>
      <x:c r="B101" s="318"/>
      <x:c r="C101" s="318"/>
      <x:c r="D101" s="318"/>
      <x:c r="E101" s="318"/>
      <x:c r="F101" s="409"/>
      <x:c r="G101" s="410"/>
      <x:c r="H101" s="410"/>
      <x:c r="I101" s="410"/>
      <x:c r="J101" s="318"/>
      <x:c r="K101" s="318"/>
      <x:c r="L101" s="318"/>
      <x:c r="M101" s="318"/>
      <x:c r="N101" s="410"/>
      <x:c r="O101" s="410"/>
      <x:c r="P101" s="318"/>
      <x:c r="Q101" s="319"/>
      <x:c r="R101" s="547" t="str">
        <x:f>IF($A101="","",IF(AND($E101="Completed",OR($D101="Full Run",$D101="No-Reset Run",$D101="PB Attempt"),ISNUMBER($F101)),"Yes","No"))</x:f>
      </x:c>
      <x:c r="S101" s="548" t="str">
        <x:f>IF($R101&lt;&gt;"Yes","",IF(COUNTIFS($B$5:$B101,$B101,$R$5:$R101,"Yes",$F$5:$F101,"&lt;"&amp;$F101)=0,IF(COUNTIFS($B$5:$B101,$B101,$R$5:$R101,"Yes",$F$5:$F101,$F101)=1,"NEW PB","TIED PB"),""))</x:f>
      </x:c>
    </x:row>
    <x:row r="102" ht="36" customHeight="1">
      <x:c r="A102" s="408"/>
      <x:c r="B102" s="318"/>
      <x:c r="C102" s="318"/>
      <x:c r="D102" s="318"/>
      <x:c r="E102" s="318"/>
      <x:c r="F102" s="409"/>
      <x:c r="G102" s="410"/>
      <x:c r="H102" s="410"/>
      <x:c r="I102" s="410"/>
      <x:c r="J102" s="318"/>
      <x:c r="K102" s="318"/>
      <x:c r="L102" s="318"/>
      <x:c r="M102" s="318"/>
      <x:c r="N102" s="410"/>
      <x:c r="O102" s="410"/>
      <x:c r="P102" s="318"/>
      <x:c r="Q102" s="319"/>
      <x:c r="R102" s="547" t="str">
        <x:f>IF($A102="","",IF(AND($E102="Completed",OR($D102="Full Run",$D102="No-Reset Run",$D102="PB Attempt"),ISNUMBER($F102)),"Yes","No"))</x:f>
      </x:c>
      <x:c r="S102" s="548" t="str">
        <x:f>IF($R102&lt;&gt;"Yes","",IF(COUNTIFS($B$5:$B102,$B102,$R$5:$R102,"Yes",$F$5:$F102,"&lt;"&amp;$F102)=0,IF(COUNTIFS($B$5:$B102,$B102,$R$5:$R102,"Yes",$F$5:$F102,$F102)=1,"NEW PB","TIED PB"),""))</x:f>
      </x:c>
    </x:row>
    <x:row r="103" ht="36" customHeight="1">
      <x:c r="A103" s="408"/>
      <x:c r="B103" s="318"/>
      <x:c r="C103" s="318"/>
      <x:c r="D103" s="318"/>
      <x:c r="E103" s="318"/>
      <x:c r="F103" s="409"/>
      <x:c r="G103" s="410"/>
      <x:c r="H103" s="410"/>
      <x:c r="I103" s="410"/>
      <x:c r="J103" s="318"/>
      <x:c r="K103" s="318"/>
      <x:c r="L103" s="318"/>
      <x:c r="M103" s="318"/>
      <x:c r="N103" s="410"/>
      <x:c r="O103" s="410"/>
      <x:c r="P103" s="318"/>
      <x:c r="Q103" s="319"/>
      <x:c r="R103" s="547" t="str">
        <x:f>IF($A103="","",IF(AND($E103="Completed",OR($D103="Full Run",$D103="No-Reset Run",$D103="PB Attempt"),ISNUMBER($F103)),"Yes","No"))</x:f>
      </x:c>
      <x:c r="S103" s="548" t="str">
        <x:f>IF($R103&lt;&gt;"Yes","",IF(COUNTIFS($B$5:$B103,$B103,$R$5:$R103,"Yes",$F$5:$F103,"&lt;"&amp;$F103)=0,IF(COUNTIFS($B$5:$B103,$B103,$R$5:$R103,"Yes",$F$5:$F103,$F103)=1,"NEW PB","TIED PB"),""))</x:f>
      </x:c>
    </x:row>
    <x:row r="104" ht="36" customHeight="1">
      <x:c r="A104" s="408"/>
      <x:c r="B104" s="318"/>
      <x:c r="C104" s="318"/>
      <x:c r="D104" s="318"/>
      <x:c r="E104" s="318"/>
      <x:c r="F104" s="409"/>
      <x:c r="G104" s="410"/>
      <x:c r="H104" s="410"/>
      <x:c r="I104" s="410"/>
      <x:c r="J104" s="318"/>
      <x:c r="K104" s="318"/>
      <x:c r="L104" s="318"/>
      <x:c r="M104" s="318"/>
      <x:c r="N104" s="410"/>
      <x:c r="O104" s="410"/>
      <x:c r="P104" s="318"/>
      <x:c r="Q104" s="319"/>
      <x:c r="R104" s="547" t="str">
        <x:f>IF($A104="","",IF(AND($E104="Completed",OR($D104="Full Run",$D104="No-Reset Run",$D104="PB Attempt"),ISNUMBER($F104)),"Yes","No"))</x:f>
      </x:c>
      <x:c r="S104" s="548" t="str">
        <x:f>IF($R104&lt;&gt;"Yes","",IF(COUNTIFS($B$5:$B104,$B104,$R$5:$R104,"Yes",$F$5:$F104,"&lt;"&amp;$F104)=0,IF(COUNTIFS($B$5:$B104,$B104,$R$5:$R104,"Yes",$F$5:$F104,$F104)=1,"NEW PB","TIED PB"),""))</x:f>
      </x:c>
    </x:row>
    <x:row r="105" ht="36" customHeight="1">
      <x:c r="A105" s="408"/>
      <x:c r="B105" s="318"/>
      <x:c r="C105" s="318"/>
      <x:c r="D105" s="318"/>
      <x:c r="E105" s="318"/>
      <x:c r="F105" s="409"/>
      <x:c r="G105" s="410"/>
      <x:c r="H105" s="410"/>
      <x:c r="I105" s="410"/>
      <x:c r="J105" s="318"/>
      <x:c r="K105" s="318"/>
      <x:c r="L105" s="318"/>
      <x:c r="M105" s="318"/>
      <x:c r="N105" s="410"/>
      <x:c r="O105" s="410"/>
      <x:c r="P105" s="318"/>
      <x:c r="Q105" s="319"/>
      <x:c r="R105" s="547" t="str">
        <x:f>IF($A105="","",IF(AND($E105="Completed",OR($D105="Full Run",$D105="No-Reset Run",$D105="PB Attempt"),ISNUMBER($F105)),"Yes","No"))</x:f>
      </x:c>
      <x:c r="S105" s="548" t="str">
        <x:f>IF($R105&lt;&gt;"Yes","",IF(COUNTIFS($B$5:$B105,$B105,$R$5:$R105,"Yes",$F$5:$F105,"&lt;"&amp;$F105)=0,IF(COUNTIFS($B$5:$B105,$B105,$R$5:$R105,"Yes",$F$5:$F105,$F105)=1,"NEW PB","TIED PB"),""))</x:f>
      </x:c>
    </x:row>
    <x:row r="106" ht="36" customHeight="1">
      <x:c r="A106" s="408"/>
      <x:c r="B106" s="318"/>
      <x:c r="C106" s="318"/>
      <x:c r="D106" s="318"/>
      <x:c r="E106" s="318"/>
      <x:c r="F106" s="409"/>
      <x:c r="G106" s="410"/>
      <x:c r="H106" s="410"/>
      <x:c r="I106" s="410"/>
      <x:c r="J106" s="318"/>
      <x:c r="K106" s="318"/>
      <x:c r="L106" s="318"/>
      <x:c r="M106" s="318"/>
      <x:c r="N106" s="410"/>
      <x:c r="O106" s="410"/>
      <x:c r="P106" s="318"/>
      <x:c r="Q106" s="319"/>
      <x:c r="R106" s="547" t="str">
        <x:f>IF($A106="","",IF(AND($E106="Completed",OR($D106="Full Run",$D106="No-Reset Run",$D106="PB Attempt"),ISNUMBER($F106)),"Yes","No"))</x:f>
      </x:c>
      <x:c r="S106" s="548" t="str">
        <x:f>IF($R106&lt;&gt;"Yes","",IF(COUNTIFS($B$5:$B106,$B106,$R$5:$R106,"Yes",$F$5:$F106,"&lt;"&amp;$F106)=0,IF(COUNTIFS($B$5:$B106,$B106,$R$5:$R106,"Yes",$F$5:$F106,$F106)=1,"NEW PB","TIED PB"),""))</x:f>
      </x:c>
    </x:row>
    <x:row r="107" ht="36" customHeight="1">
      <x:c r="A107" s="408"/>
      <x:c r="B107" s="318"/>
      <x:c r="C107" s="318"/>
      <x:c r="D107" s="318"/>
      <x:c r="E107" s="318"/>
      <x:c r="F107" s="409"/>
      <x:c r="G107" s="410"/>
      <x:c r="H107" s="410"/>
      <x:c r="I107" s="410"/>
      <x:c r="J107" s="318"/>
      <x:c r="K107" s="318"/>
      <x:c r="L107" s="318"/>
      <x:c r="M107" s="318"/>
      <x:c r="N107" s="410"/>
      <x:c r="O107" s="410"/>
      <x:c r="P107" s="318"/>
      <x:c r="Q107" s="319"/>
      <x:c r="R107" s="547" t="str">
        <x:f>IF($A107="","",IF(AND($E107="Completed",OR($D107="Full Run",$D107="No-Reset Run",$D107="PB Attempt"),ISNUMBER($F107)),"Yes","No"))</x:f>
      </x:c>
      <x:c r="S107" s="548" t="str">
        <x:f>IF($R107&lt;&gt;"Yes","",IF(COUNTIFS($B$5:$B107,$B107,$R$5:$R107,"Yes",$F$5:$F107,"&lt;"&amp;$F107)=0,IF(COUNTIFS($B$5:$B107,$B107,$R$5:$R107,"Yes",$F$5:$F107,$F107)=1,"NEW PB","TIED PB"),""))</x:f>
      </x:c>
    </x:row>
    <x:row r="108" ht="36" customHeight="1">
      <x:c r="A108" s="408"/>
      <x:c r="B108" s="318"/>
      <x:c r="C108" s="318"/>
      <x:c r="D108" s="318"/>
      <x:c r="E108" s="318"/>
      <x:c r="F108" s="409"/>
      <x:c r="G108" s="410"/>
      <x:c r="H108" s="410"/>
      <x:c r="I108" s="410"/>
      <x:c r="J108" s="318"/>
      <x:c r="K108" s="318"/>
      <x:c r="L108" s="318"/>
      <x:c r="M108" s="318"/>
      <x:c r="N108" s="410"/>
      <x:c r="O108" s="410"/>
      <x:c r="P108" s="318"/>
      <x:c r="Q108" s="319"/>
      <x:c r="R108" s="547" t="str">
        <x:f>IF($A108="","",IF(AND($E108="Completed",OR($D108="Full Run",$D108="No-Reset Run",$D108="PB Attempt"),ISNUMBER($F108)),"Yes","No"))</x:f>
      </x:c>
      <x:c r="S108" s="548" t="str">
        <x:f>IF($R108&lt;&gt;"Yes","",IF(COUNTIFS($B$5:$B108,$B108,$R$5:$R108,"Yes",$F$5:$F108,"&lt;"&amp;$F108)=0,IF(COUNTIFS($B$5:$B108,$B108,$R$5:$R108,"Yes",$F$5:$F108,$F108)=1,"NEW PB","TIED PB"),""))</x:f>
      </x:c>
    </x:row>
    <x:row r="109" ht="36" customHeight="1">
      <x:c r="A109" s="408"/>
      <x:c r="B109" s="318"/>
      <x:c r="C109" s="318"/>
      <x:c r="D109" s="318"/>
      <x:c r="E109" s="318"/>
      <x:c r="F109" s="409"/>
      <x:c r="G109" s="410"/>
      <x:c r="H109" s="410"/>
      <x:c r="I109" s="410"/>
      <x:c r="J109" s="318"/>
      <x:c r="K109" s="318"/>
      <x:c r="L109" s="318"/>
      <x:c r="M109" s="318"/>
      <x:c r="N109" s="410"/>
      <x:c r="O109" s="410"/>
      <x:c r="P109" s="318"/>
      <x:c r="Q109" s="319"/>
      <x:c r="R109" s="547" t="str">
        <x:f>IF($A109="","",IF(AND($E109="Completed",OR($D109="Full Run",$D109="No-Reset Run",$D109="PB Attempt"),ISNUMBER($F109)),"Yes","No"))</x:f>
      </x:c>
      <x:c r="S109" s="548" t="str">
        <x:f>IF($R109&lt;&gt;"Yes","",IF(COUNTIFS($B$5:$B109,$B109,$R$5:$R109,"Yes",$F$5:$F109,"&lt;"&amp;$F109)=0,IF(COUNTIFS($B$5:$B109,$B109,$R$5:$R109,"Yes",$F$5:$F109,$F109)=1,"NEW PB","TIED PB"),""))</x:f>
      </x:c>
    </x:row>
    <x:row r="110" ht="36" customHeight="1">
      <x:c r="A110" s="408"/>
      <x:c r="B110" s="318"/>
      <x:c r="C110" s="318"/>
      <x:c r="D110" s="318"/>
      <x:c r="E110" s="318"/>
      <x:c r="F110" s="409"/>
      <x:c r="G110" s="410"/>
      <x:c r="H110" s="410"/>
      <x:c r="I110" s="410"/>
      <x:c r="J110" s="318"/>
      <x:c r="K110" s="318"/>
      <x:c r="L110" s="318"/>
      <x:c r="M110" s="318"/>
      <x:c r="N110" s="410"/>
      <x:c r="O110" s="410"/>
      <x:c r="P110" s="318"/>
      <x:c r="Q110" s="319"/>
      <x:c r="R110" s="547" t="str">
        <x:f>IF($A110="","",IF(AND($E110="Completed",OR($D110="Full Run",$D110="No-Reset Run",$D110="PB Attempt"),ISNUMBER($F110)),"Yes","No"))</x:f>
      </x:c>
      <x:c r="S110" s="548" t="str">
        <x:f>IF($R110&lt;&gt;"Yes","",IF(COUNTIFS($B$5:$B110,$B110,$R$5:$R110,"Yes",$F$5:$F110,"&lt;"&amp;$F110)=0,IF(COUNTIFS($B$5:$B110,$B110,$R$5:$R110,"Yes",$F$5:$F110,$F110)=1,"NEW PB","TIED PB"),""))</x:f>
      </x:c>
    </x:row>
    <x:row r="111" ht="36" customHeight="1">
      <x:c r="A111" s="408"/>
      <x:c r="B111" s="318"/>
      <x:c r="C111" s="318"/>
      <x:c r="D111" s="318"/>
      <x:c r="E111" s="318"/>
      <x:c r="F111" s="409"/>
      <x:c r="G111" s="410"/>
      <x:c r="H111" s="410"/>
      <x:c r="I111" s="410"/>
      <x:c r="J111" s="318"/>
      <x:c r="K111" s="318"/>
      <x:c r="L111" s="318"/>
      <x:c r="M111" s="318"/>
      <x:c r="N111" s="410"/>
      <x:c r="O111" s="410"/>
      <x:c r="P111" s="318"/>
      <x:c r="Q111" s="319"/>
      <x:c r="R111" s="547" t="str">
        <x:f>IF($A111="","",IF(AND($E111="Completed",OR($D111="Full Run",$D111="No-Reset Run",$D111="PB Attempt"),ISNUMBER($F111)),"Yes","No"))</x:f>
      </x:c>
      <x:c r="S111" s="548" t="str">
        <x:f>IF($R111&lt;&gt;"Yes","",IF(COUNTIFS($B$5:$B111,$B111,$R$5:$R111,"Yes",$F$5:$F111,"&lt;"&amp;$F111)=0,IF(COUNTIFS($B$5:$B111,$B111,$R$5:$R111,"Yes",$F$5:$F111,$F111)=1,"NEW PB","TIED PB"),""))</x:f>
      </x:c>
    </x:row>
    <x:row r="112" ht="36" customHeight="1">
      <x:c r="A112" s="408"/>
      <x:c r="B112" s="318"/>
      <x:c r="C112" s="318"/>
      <x:c r="D112" s="318"/>
      <x:c r="E112" s="318"/>
      <x:c r="F112" s="409"/>
      <x:c r="G112" s="410"/>
      <x:c r="H112" s="410"/>
      <x:c r="I112" s="410"/>
      <x:c r="J112" s="318"/>
      <x:c r="K112" s="318"/>
      <x:c r="L112" s="318"/>
      <x:c r="M112" s="318"/>
      <x:c r="N112" s="410"/>
      <x:c r="O112" s="410"/>
      <x:c r="P112" s="318"/>
      <x:c r="Q112" s="319"/>
      <x:c r="R112" s="547" t="str">
        <x:f>IF($A112="","",IF(AND($E112="Completed",OR($D112="Full Run",$D112="No-Reset Run",$D112="PB Attempt"),ISNUMBER($F112)),"Yes","No"))</x:f>
      </x:c>
      <x:c r="S112" s="548" t="str">
        <x:f>IF($R112&lt;&gt;"Yes","",IF(COUNTIFS($B$5:$B112,$B112,$R$5:$R112,"Yes",$F$5:$F112,"&lt;"&amp;$F112)=0,IF(COUNTIFS($B$5:$B112,$B112,$R$5:$R112,"Yes",$F$5:$F112,$F112)=1,"NEW PB","TIED PB"),""))</x:f>
      </x:c>
    </x:row>
    <x:row r="113" ht="36" customHeight="1">
      <x:c r="A113" s="408"/>
      <x:c r="B113" s="318"/>
      <x:c r="C113" s="318"/>
      <x:c r="D113" s="318"/>
      <x:c r="E113" s="318"/>
      <x:c r="F113" s="409"/>
      <x:c r="G113" s="410"/>
      <x:c r="H113" s="410"/>
      <x:c r="I113" s="410"/>
      <x:c r="J113" s="318"/>
      <x:c r="K113" s="318"/>
      <x:c r="L113" s="318"/>
      <x:c r="M113" s="318"/>
      <x:c r="N113" s="410"/>
      <x:c r="O113" s="410"/>
      <x:c r="P113" s="318"/>
      <x:c r="Q113" s="319"/>
      <x:c r="R113" s="547" t="str">
        <x:f>IF($A113="","",IF(AND($E113="Completed",OR($D113="Full Run",$D113="No-Reset Run",$D113="PB Attempt"),ISNUMBER($F113)),"Yes","No"))</x:f>
      </x:c>
      <x:c r="S113" s="548" t="str">
        <x:f>IF($R113&lt;&gt;"Yes","",IF(COUNTIFS($B$5:$B113,$B113,$R$5:$R113,"Yes",$F$5:$F113,"&lt;"&amp;$F113)=0,IF(COUNTIFS($B$5:$B113,$B113,$R$5:$R113,"Yes",$F$5:$F113,$F113)=1,"NEW PB","TIED PB"),""))</x:f>
      </x:c>
    </x:row>
    <x:row r="114" ht="36" customHeight="1">
      <x:c r="A114" s="408"/>
      <x:c r="B114" s="318"/>
      <x:c r="C114" s="318"/>
      <x:c r="D114" s="318"/>
      <x:c r="E114" s="318"/>
      <x:c r="F114" s="409"/>
      <x:c r="G114" s="410"/>
      <x:c r="H114" s="410"/>
      <x:c r="I114" s="410"/>
      <x:c r="J114" s="318"/>
      <x:c r="K114" s="318"/>
      <x:c r="L114" s="318"/>
      <x:c r="M114" s="318"/>
      <x:c r="N114" s="410"/>
      <x:c r="O114" s="410"/>
      <x:c r="P114" s="318"/>
      <x:c r="Q114" s="319"/>
      <x:c r="R114" s="547" t="str">
        <x:f>IF($A114="","",IF(AND($E114="Completed",OR($D114="Full Run",$D114="No-Reset Run",$D114="PB Attempt"),ISNUMBER($F114)),"Yes","No"))</x:f>
      </x:c>
      <x:c r="S114" s="548" t="str">
        <x:f>IF($R114&lt;&gt;"Yes","",IF(COUNTIFS($B$5:$B114,$B114,$R$5:$R114,"Yes",$F$5:$F114,"&lt;"&amp;$F114)=0,IF(COUNTIFS($B$5:$B114,$B114,$R$5:$R114,"Yes",$F$5:$F114,$F114)=1,"NEW PB","TIED PB"),""))</x:f>
      </x:c>
    </x:row>
    <x:row r="115" ht="36" customHeight="1">
      <x:c r="A115" s="408"/>
      <x:c r="B115" s="318"/>
      <x:c r="C115" s="318"/>
      <x:c r="D115" s="318"/>
      <x:c r="E115" s="318"/>
      <x:c r="F115" s="409"/>
      <x:c r="G115" s="410"/>
      <x:c r="H115" s="410"/>
      <x:c r="I115" s="410"/>
      <x:c r="J115" s="318"/>
      <x:c r="K115" s="318"/>
      <x:c r="L115" s="318"/>
      <x:c r="M115" s="318"/>
      <x:c r="N115" s="410"/>
      <x:c r="O115" s="410"/>
      <x:c r="P115" s="318"/>
      <x:c r="Q115" s="319"/>
      <x:c r="R115" s="547" t="str">
        <x:f>IF($A115="","",IF(AND($E115="Completed",OR($D115="Full Run",$D115="No-Reset Run",$D115="PB Attempt"),ISNUMBER($F115)),"Yes","No"))</x:f>
      </x:c>
      <x:c r="S115" s="548" t="str">
        <x:f>IF($R115&lt;&gt;"Yes","",IF(COUNTIFS($B$5:$B115,$B115,$R$5:$R115,"Yes",$F$5:$F115,"&lt;"&amp;$F115)=0,IF(COUNTIFS($B$5:$B115,$B115,$R$5:$R115,"Yes",$F$5:$F115,$F115)=1,"NEW PB","TIED PB"),""))</x:f>
      </x:c>
    </x:row>
    <x:row r="116" ht="36" customHeight="1">
      <x:c r="A116" s="408"/>
      <x:c r="B116" s="318"/>
      <x:c r="C116" s="318"/>
      <x:c r="D116" s="318"/>
      <x:c r="E116" s="318"/>
      <x:c r="F116" s="409"/>
      <x:c r="G116" s="410"/>
      <x:c r="H116" s="410"/>
      <x:c r="I116" s="410"/>
      <x:c r="J116" s="318"/>
      <x:c r="K116" s="318"/>
      <x:c r="L116" s="318"/>
      <x:c r="M116" s="318"/>
      <x:c r="N116" s="410"/>
      <x:c r="O116" s="410"/>
      <x:c r="P116" s="318"/>
      <x:c r="Q116" s="319"/>
      <x:c r="R116" s="547" t="str">
        <x:f>IF($A116="","",IF(AND($E116="Completed",OR($D116="Full Run",$D116="No-Reset Run",$D116="PB Attempt"),ISNUMBER($F116)),"Yes","No"))</x:f>
      </x:c>
      <x:c r="S116" s="548" t="str">
        <x:f>IF($R116&lt;&gt;"Yes","",IF(COUNTIFS($B$5:$B116,$B116,$R$5:$R116,"Yes",$F$5:$F116,"&lt;"&amp;$F116)=0,IF(COUNTIFS($B$5:$B116,$B116,$R$5:$R116,"Yes",$F$5:$F116,$F116)=1,"NEW PB","TIED PB"),""))</x:f>
      </x:c>
    </x:row>
    <x:row r="117" ht="36" customHeight="1">
      <x:c r="A117" s="408"/>
      <x:c r="B117" s="318"/>
      <x:c r="C117" s="318"/>
      <x:c r="D117" s="318"/>
      <x:c r="E117" s="318"/>
      <x:c r="F117" s="409"/>
      <x:c r="G117" s="410"/>
      <x:c r="H117" s="410"/>
      <x:c r="I117" s="410"/>
      <x:c r="J117" s="318"/>
      <x:c r="K117" s="318"/>
      <x:c r="L117" s="318"/>
      <x:c r="M117" s="318"/>
      <x:c r="N117" s="410"/>
      <x:c r="O117" s="410"/>
      <x:c r="P117" s="318"/>
      <x:c r="Q117" s="319"/>
      <x:c r="R117" s="547" t="str">
        <x:f>IF($A117="","",IF(AND($E117="Completed",OR($D117="Full Run",$D117="No-Reset Run",$D117="PB Attempt"),ISNUMBER($F117)),"Yes","No"))</x:f>
      </x:c>
      <x:c r="S117" s="548" t="str">
        <x:f>IF($R117&lt;&gt;"Yes","",IF(COUNTIFS($B$5:$B117,$B117,$R$5:$R117,"Yes",$F$5:$F117,"&lt;"&amp;$F117)=0,IF(COUNTIFS($B$5:$B117,$B117,$R$5:$R117,"Yes",$F$5:$F117,$F117)=1,"NEW PB","TIED PB"),""))</x:f>
      </x:c>
    </x:row>
    <x:row r="118" ht="36" customHeight="1">
      <x:c r="A118" s="408"/>
      <x:c r="B118" s="318"/>
      <x:c r="C118" s="318"/>
      <x:c r="D118" s="318"/>
      <x:c r="E118" s="318"/>
      <x:c r="F118" s="409"/>
      <x:c r="G118" s="410"/>
      <x:c r="H118" s="410"/>
      <x:c r="I118" s="410"/>
      <x:c r="J118" s="318"/>
      <x:c r="K118" s="318"/>
      <x:c r="L118" s="318"/>
      <x:c r="M118" s="318"/>
      <x:c r="N118" s="410"/>
      <x:c r="O118" s="410"/>
      <x:c r="P118" s="318"/>
      <x:c r="Q118" s="319"/>
      <x:c r="R118" s="547" t="str">
        <x:f>IF($A118="","",IF(AND($E118="Completed",OR($D118="Full Run",$D118="No-Reset Run",$D118="PB Attempt"),ISNUMBER($F118)),"Yes","No"))</x:f>
      </x:c>
      <x:c r="S118" s="548" t="str">
        <x:f>IF($R118&lt;&gt;"Yes","",IF(COUNTIFS($B$5:$B118,$B118,$R$5:$R118,"Yes",$F$5:$F118,"&lt;"&amp;$F118)=0,IF(COUNTIFS($B$5:$B118,$B118,$R$5:$R118,"Yes",$F$5:$F118,$F118)=1,"NEW PB","TIED PB"),""))</x:f>
      </x:c>
    </x:row>
    <x:row r="119" ht="36" customHeight="1">
      <x:c r="A119" s="408"/>
      <x:c r="B119" s="318"/>
      <x:c r="C119" s="318"/>
      <x:c r="D119" s="318"/>
      <x:c r="E119" s="318"/>
      <x:c r="F119" s="409"/>
      <x:c r="G119" s="410"/>
      <x:c r="H119" s="410"/>
      <x:c r="I119" s="410"/>
      <x:c r="J119" s="318"/>
      <x:c r="K119" s="318"/>
      <x:c r="L119" s="318"/>
      <x:c r="M119" s="318"/>
      <x:c r="N119" s="410"/>
      <x:c r="O119" s="410"/>
      <x:c r="P119" s="318"/>
      <x:c r="Q119" s="319"/>
      <x:c r="R119" s="547" t="str">
        <x:f>IF($A119="","",IF(AND($E119="Completed",OR($D119="Full Run",$D119="No-Reset Run",$D119="PB Attempt"),ISNUMBER($F119)),"Yes","No"))</x:f>
      </x:c>
      <x:c r="S119" s="548" t="str">
        <x:f>IF($R119&lt;&gt;"Yes","",IF(COUNTIFS($B$5:$B119,$B119,$R$5:$R119,"Yes",$F$5:$F119,"&lt;"&amp;$F119)=0,IF(COUNTIFS($B$5:$B119,$B119,$R$5:$R119,"Yes",$F$5:$F119,$F119)=1,"NEW PB","TIED PB"),""))</x:f>
      </x:c>
    </x:row>
    <x:row r="120" ht="36" customHeight="1">
      <x:c r="A120" s="408"/>
      <x:c r="B120" s="318"/>
      <x:c r="C120" s="318"/>
      <x:c r="D120" s="318"/>
      <x:c r="E120" s="318"/>
      <x:c r="F120" s="409"/>
      <x:c r="G120" s="410"/>
      <x:c r="H120" s="410"/>
      <x:c r="I120" s="410"/>
      <x:c r="J120" s="318"/>
      <x:c r="K120" s="318"/>
      <x:c r="L120" s="318"/>
      <x:c r="M120" s="318"/>
      <x:c r="N120" s="410"/>
      <x:c r="O120" s="410"/>
      <x:c r="P120" s="318"/>
      <x:c r="Q120" s="319"/>
      <x:c r="R120" s="547" t="str">
        <x:f>IF($A120="","",IF(AND($E120="Completed",OR($D120="Full Run",$D120="No-Reset Run",$D120="PB Attempt"),ISNUMBER($F120)),"Yes","No"))</x:f>
      </x:c>
      <x:c r="S120" s="548" t="str">
        <x:f>IF($R120&lt;&gt;"Yes","",IF(COUNTIFS($B$5:$B120,$B120,$R$5:$R120,"Yes",$F$5:$F120,"&lt;"&amp;$F120)=0,IF(COUNTIFS($B$5:$B120,$B120,$R$5:$R120,"Yes",$F$5:$F120,$F120)=1,"NEW PB","TIED PB"),""))</x:f>
      </x:c>
    </x:row>
    <x:row r="121" ht="36" customHeight="1">
      <x:c r="A121" s="408"/>
      <x:c r="B121" s="318"/>
      <x:c r="C121" s="318"/>
      <x:c r="D121" s="318"/>
      <x:c r="E121" s="318"/>
      <x:c r="F121" s="409"/>
      <x:c r="G121" s="410"/>
      <x:c r="H121" s="410"/>
      <x:c r="I121" s="410"/>
      <x:c r="J121" s="318"/>
      <x:c r="K121" s="318"/>
      <x:c r="L121" s="318"/>
      <x:c r="M121" s="318"/>
      <x:c r="N121" s="410"/>
      <x:c r="O121" s="410"/>
      <x:c r="P121" s="318"/>
      <x:c r="Q121" s="319"/>
      <x:c r="R121" s="547" t="str">
        <x:f>IF($A121="","",IF(AND($E121="Completed",OR($D121="Full Run",$D121="No-Reset Run",$D121="PB Attempt"),ISNUMBER($F121)),"Yes","No"))</x:f>
      </x:c>
      <x:c r="S121" s="548" t="str">
        <x:f>IF($R121&lt;&gt;"Yes","",IF(COUNTIFS($B$5:$B121,$B121,$R$5:$R121,"Yes",$F$5:$F121,"&lt;"&amp;$F121)=0,IF(COUNTIFS($B$5:$B121,$B121,$R$5:$R121,"Yes",$F$5:$F121,$F121)=1,"NEW PB","TIED PB"),""))</x:f>
      </x:c>
    </x:row>
    <x:row r="122" ht="36" customHeight="1">
      <x:c r="A122" s="408"/>
      <x:c r="B122" s="318"/>
      <x:c r="C122" s="318"/>
      <x:c r="D122" s="318"/>
      <x:c r="E122" s="318"/>
      <x:c r="F122" s="409"/>
      <x:c r="G122" s="410"/>
      <x:c r="H122" s="410"/>
      <x:c r="I122" s="410"/>
      <x:c r="J122" s="318"/>
      <x:c r="K122" s="318"/>
      <x:c r="L122" s="318"/>
      <x:c r="M122" s="318"/>
      <x:c r="N122" s="410"/>
      <x:c r="O122" s="410"/>
      <x:c r="P122" s="318"/>
      <x:c r="Q122" s="319"/>
      <x:c r="R122" s="547" t="str">
        <x:f>IF($A122="","",IF(AND($E122="Completed",OR($D122="Full Run",$D122="No-Reset Run",$D122="PB Attempt"),ISNUMBER($F122)),"Yes","No"))</x:f>
      </x:c>
      <x:c r="S122" s="548" t="str">
        <x:f>IF($R122&lt;&gt;"Yes","",IF(COUNTIFS($B$5:$B122,$B122,$R$5:$R122,"Yes",$F$5:$F122,"&lt;"&amp;$F122)=0,IF(COUNTIFS($B$5:$B122,$B122,$R$5:$R122,"Yes",$F$5:$F122,$F122)=1,"NEW PB","TIED PB"),""))</x:f>
      </x:c>
    </x:row>
    <x:row r="123" ht="36" customHeight="1">
      <x:c r="A123" s="408"/>
      <x:c r="B123" s="318"/>
      <x:c r="C123" s="318"/>
      <x:c r="D123" s="318"/>
      <x:c r="E123" s="318"/>
      <x:c r="F123" s="409"/>
      <x:c r="G123" s="410"/>
      <x:c r="H123" s="410"/>
      <x:c r="I123" s="410"/>
      <x:c r="J123" s="318"/>
      <x:c r="K123" s="318"/>
      <x:c r="L123" s="318"/>
      <x:c r="M123" s="318"/>
      <x:c r="N123" s="410"/>
      <x:c r="O123" s="410"/>
      <x:c r="P123" s="318"/>
      <x:c r="Q123" s="319"/>
      <x:c r="R123" s="547" t="str">
        <x:f>IF($A123="","",IF(AND($E123="Completed",OR($D123="Full Run",$D123="No-Reset Run",$D123="PB Attempt"),ISNUMBER($F123)),"Yes","No"))</x:f>
      </x:c>
      <x:c r="S123" s="548" t="str">
        <x:f>IF($R123&lt;&gt;"Yes","",IF(COUNTIFS($B$5:$B123,$B123,$R$5:$R123,"Yes",$F$5:$F123,"&lt;"&amp;$F123)=0,IF(COUNTIFS($B$5:$B123,$B123,$R$5:$R123,"Yes",$F$5:$F123,$F123)=1,"NEW PB","TIED PB"),""))</x:f>
      </x:c>
    </x:row>
    <x:row r="124" ht="36" customHeight="1">
      <x:c r="A124" s="408"/>
      <x:c r="B124" s="318"/>
      <x:c r="C124" s="318"/>
      <x:c r="D124" s="318"/>
      <x:c r="E124" s="318"/>
      <x:c r="F124" s="409"/>
      <x:c r="G124" s="410"/>
      <x:c r="H124" s="410"/>
      <x:c r="I124" s="410"/>
      <x:c r="J124" s="318"/>
      <x:c r="K124" s="318"/>
      <x:c r="L124" s="318"/>
      <x:c r="M124" s="318"/>
      <x:c r="N124" s="410"/>
      <x:c r="O124" s="410"/>
      <x:c r="P124" s="318"/>
      <x:c r="Q124" s="319"/>
      <x:c r="R124" s="547" t="str">
        <x:f>IF($A124="","",IF(AND($E124="Completed",OR($D124="Full Run",$D124="No-Reset Run",$D124="PB Attempt"),ISNUMBER($F124)),"Yes","No"))</x:f>
      </x:c>
      <x:c r="S124" s="548" t="str">
        <x:f>IF($R124&lt;&gt;"Yes","",IF(COUNTIFS($B$5:$B124,$B124,$R$5:$R124,"Yes",$F$5:$F124,"&lt;"&amp;$F124)=0,IF(COUNTIFS($B$5:$B124,$B124,$R$5:$R124,"Yes",$F$5:$F124,$F124)=1,"NEW PB","TIED PB"),""))</x:f>
      </x:c>
    </x:row>
    <x:row r="125" ht="36" customHeight="1">
      <x:c r="A125" s="408"/>
      <x:c r="B125" s="318"/>
      <x:c r="C125" s="318"/>
      <x:c r="D125" s="318"/>
      <x:c r="E125" s="318"/>
      <x:c r="F125" s="409"/>
      <x:c r="G125" s="410"/>
      <x:c r="H125" s="410"/>
      <x:c r="I125" s="410"/>
      <x:c r="J125" s="318"/>
      <x:c r="K125" s="318"/>
      <x:c r="L125" s="318"/>
      <x:c r="M125" s="318"/>
      <x:c r="N125" s="410"/>
      <x:c r="O125" s="410"/>
      <x:c r="P125" s="318"/>
      <x:c r="Q125" s="319"/>
      <x:c r="R125" s="547" t="str">
        <x:f>IF($A125="","",IF(AND($E125="Completed",OR($D125="Full Run",$D125="No-Reset Run",$D125="PB Attempt"),ISNUMBER($F125)),"Yes","No"))</x:f>
      </x:c>
      <x:c r="S125" s="548" t="str">
        <x:f>IF($R125&lt;&gt;"Yes","",IF(COUNTIFS($B$5:$B125,$B125,$R$5:$R125,"Yes",$F$5:$F125,"&lt;"&amp;$F125)=0,IF(COUNTIFS($B$5:$B125,$B125,$R$5:$R125,"Yes",$F$5:$F125,$F125)=1,"NEW PB","TIED PB"),""))</x:f>
      </x:c>
    </x:row>
    <x:row r="126" ht="36" customHeight="1">
      <x:c r="A126" s="408"/>
      <x:c r="B126" s="318"/>
      <x:c r="C126" s="318"/>
      <x:c r="D126" s="318"/>
      <x:c r="E126" s="318"/>
      <x:c r="F126" s="409"/>
      <x:c r="G126" s="410"/>
      <x:c r="H126" s="410"/>
      <x:c r="I126" s="410"/>
      <x:c r="J126" s="318"/>
      <x:c r="K126" s="318"/>
      <x:c r="L126" s="318"/>
      <x:c r="M126" s="318"/>
      <x:c r="N126" s="410"/>
      <x:c r="O126" s="410"/>
      <x:c r="P126" s="318"/>
      <x:c r="Q126" s="319"/>
      <x:c r="R126" s="547" t="str">
        <x:f>IF($A126="","",IF(AND($E126="Completed",OR($D126="Full Run",$D126="No-Reset Run",$D126="PB Attempt"),ISNUMBER($F126)),"Yes","No"))</x:f>
      </x:c>
      <x:c r="S126" s="548" t="str">
        <x:f>IF($R126&lt;&gt;"Yes","",IF(COUNTIFS($B$5:$B126,$B126,$R$5:$R126,"Yes",$F$5:$F126,"&lt;"&amp;$F126)=0,IF(COUNTIFS($B$5:$B126,$B126,$R$5:$R126,"Yes",$F$5:$F126,$F126)=1,"NEW PB","TIED PB"),""))</x:f>
      </x:c>
    </x:row>
    <x:row r="127" ht="36" customHeight="1">
      <x:c r="A127" s="408"/>
      <x:c r="B127" s="318"/>
      <x:c r="C127" s="318"/>
      <x:c r="D127" s="318"/>
      <x:c r="E127" s="318"/>
      <x:c r="F127" s="409"/>
      <x:c r="G127" s="410"/>
      <x:c r="H127" s="410"/>
      <x:c r="I127" s="410"/>
      <x:c r="J127" s="318"/>
      <x:c r="K127" s="318"/>
      <x:c r="L127" s="318"/>
      <x:c r="M127" s="318"/>
      <x:c r="N127" s="410"/>
      <x:c r="O127" s="410"/>
      <x:c r="P127" s="318"/>
      <x:c r="Q127" s="319"/>
      <x:c r="R127" s="547" t="str">
        <x:f>IF($A127="","",IF(AND($E127="Completed",OR($D127="Full Run",$D127="No-Reset Run",$D127="PB Attempt"),ISNUMBER($F127)),"Yes","No"))</x:f>
      </x:c>
      <x:c r="S127" s="548" t="str">
        <x:f>IF($R127&lt;&gt;"Yes","",IF(COUNTIFS($B$5:$B127,$B127,$R$5:$R127,"Yes",$F$5:$F127,"&lt;"&amp;$F127)=0,IF(COUNTIFS($B$5:$B127,$B127,$R$5:$R127,"Yes",$F$5:$F127,$F127)=1,"NEW PB","TIED PB"),""))</x:f>
      </x:c>
    </x:row>
    <x:row r="128" ht="36" customHeight="1">
      <x:c r="A128" s="408"/>
      <x:c r="B128" s="318"/>
      <x:c r="C128" s="318"/>
      <x:c r="D128" s="318"/>
      <x:c r="E128" s="318"/>
      <x:c r="F128" s="409"/>
      <x:c r="G128" s="410"/>
      <x:c r="H128" s="410"/>
      <x:c r="I128" s="410"/>
      <x:c r="J128" s="318"/>
      <x:c r="K128" s="318"/>
      <x:c r="L128" s="318"/>
      <x:c r="M128" s="318"/>
      <x:c r="N128" s="410"/>
      <x:c r="O128" s="410"/>
      <x:c r="P128" s="318"/>
      <x:c r="Q128" s="319"/>
      <x:c r="R128" s="547" t="str">
        <x:f>IF($A128="","",IF(AND($E128="Completed",OR($D128="Full Run",$D128="No-Reset Run",$D128="PB Attempt"),ISNUMBER($F128)),"Yes","No"))</x:f>
      </x:c>
      <x:c r="S128" s="548" t="str">
        <x:f>IF($R128&lt;&gt;"Yes","",IF(COUNTIFS($B$5:$B128,$B128,$R$5:$R128,"Yes",$F$5:$F128,"&lt;"&amp;$F128)=0,IF(COUNTIFS($B$5:$B128,$B128,$R$5:$R128,"Yes",$F$5:$F128,$F128)=1,"NEW PB","TIED PB"),""))</x:f>
      </x:c>
    </x:row>
    <x:row r="129" ht="36" customHeight="1">
      <x:c r="A129" s="408"/>
      <x:c r="B129" s="318"/>
      <x:c r="C129" s="318"/>
      <x:c r="D129" s="318"/>
      <x:c r="E129" s="318"/>
      <x:c r="F129" s="409"/>
      <x:c r="G129" s="410"/>
      <x:c r="H129" s="410"/>
      <x:c r="I129" s="410"/>
      <x:c r="J129" s="318"/>
      <x:c r="K129" s="318"/>
      <x:c r="L129" s="318"/>
      <x:c r="M129" s="318"/>
      <x:c r="N129" s="410"/>
      <x:c r="O129" s="410"/>
      <x:c r="P129" s="318"/>
      <x:c r="Q129" s="319"/>
      <x:c r="R129" s="547" t="str">
        <x:f>IF($A129="","",IF(AND($E129="Completed",OR($D129="Full Run",$D129="No-Reset Run",$D129="PB Attempt"),ISNUMBER($F129)),"Yes","No"))</x:f>
      </x:c>
      <x:c r="S129" s="548" t="str">
        <x:f>IF($R129&lt;&gt;"Yes","",IF(COUNTIFS($B$5:$B129,$B129,$R$5:$R129,"Yes",$F$5:$F129,"&lt;"&amp;$F129)=0,IF(COUNTIFS($B$5:$B129,$B129,$R$5:$R129,"Yes",$F$5:$F129,$F129)=1,"NEW PB","TIED PB"),""))</x:f>
      </x:c>
    </x:row>
    <x:row r="130" ht="36" customHeight="1">
      <x:c r="A130" s="408"/>
      <x:c r="B130" s="318"/>
      <x:c r="C130" s="318"/>
      <x:c r="D130" s="318"/>
      <x:c r="E130" s="318"/>
      <x:c r="F130" s="409"/>
      <x:c r="G130" s="410"/>
      <x:c r="H130" s="410"/>
      <x:c r="I130" s="410"/>
      <x:c r="J130" s="318"/>
      <x:c r="K130" s="318"/>
      <x:c r="L130" s="318"/>
      <x:c r="M130" s="318"/>
      <x:c r="N130" s="410"/>
      <x:c r="O130" s="410"/>
      <x:c r="P130" s="318"/>
      <x:c r="Q130" s="319"/>
      <x:c r="R130" s="547" t="str">
        <x:f>IF($A130="","",IF(AND($E130="Completed",OR($D130="Full Run",$D130="No-Reset Run",$D130="PB Attempt"),ISNUMBER($F130)),"Yes","No"))</x:f>
      </x:c>
      <x:c r="S130" s="548" t="str">
        <x:f>IF($R130&lt;&gt;"Yes","",IF(COUNTIFS($B$5:$B130,$B130,$R$5:$R130,"Yes",$F$5:$F130,"&lt;"&amp;$F130)=0,IF(COUNTIFS($B$5:$B130,$B130,$R$5:$R130,"Yes",$F$5:$F130,$F130)=1,"NEW PB","TIED PB"),""))</x:f>
      </x:c>
    </x:row>
    <x:row r="131" ht="36" customHeight="1">
      <x:c r="A131" s="408"/>
      <x:c r="B131" s="318"/>
      <x:c r="C131" s="318"/>
      <x:c r="D131" s="318"/>
      <x:c r="E131" s="318"/>
      <x:c r="F131" s="409"/>
      <x:c r="G131" s="410"/>
      <x:c r="H131" s="410"/>
      <x:c r="I131" s="410"/>
      <x:c r="J131" s="318"/>
      <x:c r="K131" s="318"/>
      <x:c r="L131" s="318"/>
      <x:c r="M131" s="318"/>
      <x:c r="N131" s="410"/>
      <x:c r="O131" s="410"/>
      <x:c r="P131" s="318"/>
      <x:c r="Q131" s="319"/>
      <x:c r="R131" s="547" t="str">
        <x:f>IF($A131="","",IF(AND($E131="Completed",OR($D131="Full Run",$D131="No-Reset Run",$D131="PB Attempt"),ISNUMBER($F131)),"Yes","No"))</x:f>
      </x:c>
      <x:c r="S131" s="548" t="str">
        <x:f>IF($R131&lt;&gt;"Yes","",IF(COUNTIFS($B$5:$B131,$B131,$R$5:$R131,"Yes",$F$5:$F131,"&lt;"&amp;$F131)=0,IF(COUNTIFS($B$5:$B131,$B131,$R$5:$R131,"Yes",$F$5:$F131,$F131)=1,"NEW PB","TIED PB"),""))</x:f>
      </x:c>
    </x:row>
    <x:row r="132" ht="36" customHeight="1">
      <x:c r="A132" s="408"/>
      <x:c r="B132" s="318"/>
      <x:c r="C132" s="318"/>
      <x:c r="D132" s="318"/>
      <x:c r="E132" s="318"/>
      <x:c r="F132" s="409"/>
      <x:c r="G132" s="410"/>
      <x:c r="H132" s="410"/>
      <x:c r="I132" s="410"/>
      <x:c r="J132" s="318"/>
      <x:c r="K132" s="318"/>
      <x:c r="L132" s="318"/>
      <x:c r="M132" s="318"/>
      <x:c r="N132" s="410"/>
      <x:c r="O132" s="410"/>
      <x:c r="P132" s="318"/>
      <x:c r="Q132" s="319"/>
      <x:c r="R132" s="547" t="str">
        <x:f>IF($A132="","",IF(AND($E132="Completed",OR($D132="Full Run",$D132="No-Reset Run",$D132="PB Attempt"),ISNUMBER($F132)),"Yes","No"))</x:f>
      </x:c>
      <x:c r="S132" s="548" t="str">
        <x:f>IF($R132&lt;&gt;"Yes","",IF(COUNTIFS($B$5:$B132,$B132,$R$5:$R132,"Yes",$F$5:$F132,"&lt;"&amp;$F132)=0,IF(COUNTIFS($B$5:$B132,$B132,$R$5:$R132,"Yes",$F$5:$F132,$F132)=1,"NEW PB","TIED PB"),""))</x:f>
      </x:c>
    </x:row>
    <x:row r="133" ht="36" customHeight="1">
      <x:c r="A133" s="408"/>
      <x:c r="B133" s="318"/>
      <x:c r="C133" s="318"/>
      <x:c r="D133" s="318"/>
      <x:c r="E133" s="318"/>
      <x:c r="F133" s="409"/>
      <x:c r="G133" s="410"/>
      <x:c r="H133" s="410"/>
      <x:c r="I133" s="410"/>
      <x:c r="J133" s="318"/>
      <x:c r="K133" s="318"/>
      <x:c r="L133" s="318"/>
      <x:c r="M133" s="318"/>
      <x:c r="N133" s="410"/>
      <x:c r="O133" s="410"/>
      <x:c r="P133" s="318"/>
      <x:c r="Q133" s="319"/>
      <x:c r="R133" s="547" t="str">
        <x:f>IF($A133="","",IF(AND($E133="Completed",OR($D133="Full Run",$D133="No-Reset Run",$D133="PB Attempt"),ISNUMBER($F133)),"Yes","No"))</x:f>
      </x:c>
      <x:c r="S133" s="548" t="str">
        <x:f>IF($R133&lt;&gt;"Yes","",IF(COUNTIFS($B$5:$B133,$B133,$R$5:$R133,"Yes",$F$5:$F133,"&lt;"&amp;$F133)=0,IF(COUNTIFS($B$5:$B133,$B133,$R$5:$R133,"Yes",$F$5:$F133,$F133)=1,"NEW PB","TIED PB"),""))</x:f>
      </x:c>
    </x:row>
    <x:row r="134" ht="36" customHeight="1">
      <x:c r="A134" s="408"/>
      <x:c r="B134" s="318"/>
      <x:c r="C134" s="318"/>
      <x:c r="D134" s="318"/>
      <x:c r="E134" s="318"/>
      <x:c r="F134" s="409"/>
      <x:c r="G134" s="410"/>
      <x:c r="H134" s="410"/>
      <x:c r="I134" s="410"/>
      <x:c r="J134" s="318"/>
      <x:c r="K134" s="318"/>
      <x:c r="L134" s="318"/>
      <x:c r="M134" s="318"/>
      <x:c r="N134" s="410"/>
      <x:c r="O134" s="410"/>
      <x:c r="P134" s="318"/>
      <x:c r="Q134" s="319"/>
      <x:c r="R134" s="547" t="str">
        <x:f>IF($A134="","",IF(AND($E134="Completed",OR($D134="Full Run",$D134="No-Reset Run",$D134="PB Attempt"),ISNUMBER($F134)),"Yes","No"))</x:f>
      </x:c>
      <x:c r="S134" s="548" t="str">
        <x:f>IF($R134&lt;&gt;"Yes","",IF(COUNTIFS($B$5:$B134,$B134,$R$5:$R134,"Yes",$F$5:$F134,"&lt;"&amp;$F134)=0,IF(COUNTIFS($B$5:$B134,$B134,$R$5:$R134,"Yes",$F$5:$F134,$F134)=1,"NEW PB","TIED PB"),""))</x:f>
      </x:c>
    </x:row>
    <x:row r="135" ht="36" customHeight="1">
      <x:c r="A135" s="408"/>
      <x:c r="B135" s="318"/>
      <x:c r="C135" s="318"/>
      <x:c r="D135" s="318"/>
      <x:c r="E135" s="318"/>
      <x:c r="F135" s="409"/>
      <x:c r="G135" s="410"/>
      <x:c r="H135" s="410"/>
      <x:c r="I135" s="410"/>
      <x:c r="J135" s="318"/>
      <x:c r="K135" s="318"/>
      <x:c r="L135" s="318"/>
      <x:c r="M135" s="318"/>
      <x:c r="N135" s="410"/>
      <x:c r="O135" s="410"/>
      <x:c r="P135" s="318"/>
      <x:c r="Q135" s="319"/>
      <x:c r="R135" s="547" t="str">
        <x:f>IF($A135="","",IF(AND($E135="Completed",OR($D135="Full Run",$D135="No-Reset Run",$D135="PB Attempt"),ISNUMBER($F135)),"Yes","No"))</x:f>
      </x:c>
      <x:c r="S135" s="548" t="str">
        <x:f>IF($R135&lt;&gt;"Yes","",IF(COUNTIFS($B$5:$B135,$B135,$R$5:$R135,"Yes",$F$5:$F135,"&lt;"&amp;$F135)=0,IF(COUNTIFS($B$5:$B135,$B135,$R$5:$R135,"Yes",$F$5:$F135,$F135)=1,"NEW PB","TIED PB"),""))</x:f>
      </x:c>
    </x:row>
    <x:row r="136" ht="36" customHeight="1">
      <x:c r="A136" s="408"/>
      <x:c r="B136" s="318"/>
      <x:c r="C136" s="318"/>
      <x:c r="D136" s="318"/>
      <x:c r="E136" s="318"/>
      <x:c r="F136" s="409"/>
      <x:c r="G136" s="410"/>
      <x:c r="H136" s="410"/>
      <x:c r="I136" s="410"/>
      <x:c r="J136" s="318"/>
      <x:c r="K136" s="318"/>
      <x:c r="L136" s="318"/>
      <x:c r="M136" s="318"/>
      <x:c r="N136" s="410"/>
      <x:c r="O136" s="410"/>
      <x:c r="P136" s="318"/>
      <x:c r="Q136" s="319"/>
      <x:c r="R136" s="547" t="str">
        <x:f>IF($A136="","",IF(AND($E136="Completed",OR($D136="Full Run",$D136="No-Reset Run",$D136="PB Attempt"),ISNUMBER($F136)),"Yes","No"))</x:f>
      </x:c>
      <x:c r="S136" s="548" t="str">
        <x:f>IF($R136&lt;&gt;"Yes","",IF(COUNTIFS($B$5:$B136,$B136,$R$5:$R136,"Yes",$F$5:$F136,"&lt;"&amp;$F136)=0,IF(COUNTIFS($B$5:$B136,$B136,$R$5:$R136,"Yes",$F$5:$F136,$F136)=1,"NEW PB","TIED PB"),""))</x:f>
      </x:c>
    </x:row>
    <x:row r="137" ht="36" customHeight="1">
      <x:c r="A137" s="408"/>
      <x:c r="B137" s="318"/>
      <x:c r="C137" s="318"/>
      <x:c r="D137" s="318"/>
      <x:c r="E137" s="318"/>
      <x:c r="F137" s="409"/>
      <x:c r="G137" s="410"/>
      <x:c r="H137" s="410"/>
      <x:c r="I137" s="410"/>
      <x:c r="J137" s="318"/>
      <x:c r="K137" s="318"/>
      <x:c r="L137" s="318"/>
      <x:c r="M137" s="318"/>
      <x:c r="N137" s="410"/>
      <x:c r="O137" s="410"/>
      <x:c r="P137" s="318"/>
      <x:c r="Q137" s="319"/>
      <x:c r="R137" s="547" t="str">
        <x:f>IF($A137="","",IF(AND($E137="Completed",OR($D137="Full Run",$D137="No-Reset Run",$D137="PB Attempt"),ISNUMBER($F137)),"Yes","No"))</x:f>
      </x:c>
      <x:c r="S137" s="548" t="str">
        <x:f>IF($R137&lt;&gt;"Yes","",IF(COUNTIFS($B$5:$B137,$B137,$R$5:$R137,"Yes",$F$5:$F137,"&lt;"&amp;$F137)=0,IF(COUNTIFS($B$5:$B137,$B137,$R$5:$R137,"Yes",$F$5:$F137,$F137)=1,"NEW PB","TIED PB"),""))</x:f>
      </x:c>
    </x:row>
    <x:row r="138" ht="36" customHeight="1">
      <x:c r="A138" s="408"/>
      <x:c r="B138" s="318"/>
      <x:c r="C138" s="318"/>
      <x:c r="D138" s="318"/>
      <x:c r="E138" s="318"/>
      <x:c r="F138" s="409"/>
      <x:c r="G138" s="410"/>
      <x:c r="H138" s="410"/>
      <x:c r="I138" s="410"/>
      <x:c r="J138" s="318"/>
      <x:c r="K138" s="318"/>
      <x:c r="L138" s="318"/>
      <x:c r="M138" s="318"/>
      <x:c r="N138" s="410"/>
      <x:c r="O138" s="410"/>
      <x:c r="P138" s="318"/>
      <x:c r="Q138" s="319"/>
      <x:c r="R138" s="547" t="str">
        <x:f>IF($A138="","",IF(AND($E138="Completed",OR($D138="Full Run",$D138="No-Reset Run",$D138="PB Attempt"),ISNUMBER($F138)),"Yes","No"))</x:f>
      </x:c>
      <x:c r="S138" s="548" t="str">
        <x:f>IF($R138&lt;&gt;"Yes","",IF(COUNTIFS($B$5:$B138,$B138,$R$5:$R138,"Yes",$F$5:$F138,"&lt;"&amp;$F138)=0,IF(COUNTIFS($B$5:$B138,$B138,$R$5:$R138,"Yes",$F$5:$F138,$F138)=1,"NEW PB","TIED PB"),""))</x:f>
      </x:c>
    </x:row>
    <x:row r="139" ht="36" customHeight="1">
      <x:c r="A139" s="408"/>
      <x:c r="B139" s="318"/>
      <x:c r="C139" s="318"/>
      <x:c r="D139" s="318"/>
      <x:c r="E139" s="318"/>
      <x:c r="F139" s="409"/>
      <x:c r="G139" s="410"/>
      <x:c r="H139" s="410"/>
      <x:c r="I139" s="410"/>
      <x:c r="J139" s="318"/>
      <x:c r="K139" s="318"/>
      <x:c r="L139" s="318"/>
      <x:c r="M139" s="318"/>
      <x:c r="N139" s="410"/>
      <x:c r="O139" s="410"/>
      <x:c r="P139" s="318"/>
      <x:c r="Q139" s="319"/>
      <x:c r="R139" s="547" t="str">
        <x:f>IF($A139="","",IF(AND($E139="Completed",OR($D139="Full Run",$D139="No-Reset Run",$D139="PB Attempt"),ISNUMBER($F139)),"Yes","No"))</x:f>
      </x:c>
      <x:c r="S139" s="548" t="str">
        <x:f>IF($R139&lt;&gt;"Yes","",IF(COUNTIFS($B$5:$B139,$B139,$R$5:$R139,"Yes",$F$5:$F139,"&lt;"&amp;$F139)=0,IF(COUNTIFS($B$5:$B139,$B139,$R$5:$R139,"Yes",$F$5:$F139,$F139)=1,"NEW PB","TIED PB"),""))</x:f>
      </x:c>
    </x:row>
    <x:row r="140" ht="36" customHeight="1">
      <x:c r="A140" s="408"/>
      <x:c r="B140" s="318"/>
      <x:c r="C140" s="318"/>
      <x:c r="D140" s="318"/>
      <x:c r="E140" s="318"/>
      <x:c r="F140" s="409"/>
      <x:c r="G140" s="410"/>
      <x:c r="H140" s="410"/>
      <x:c r="I140" s="410"/>
      <x:c r="J140" s="318"/>
      <x:c r="K140" s="318"/>
      <x:c r="L140" s="318"/>
      <x:c r="M140" s="318"/>
      <x:c r="N140" s="410"/>
      <x:c r="O140" s="410"/>
      <x:c r="P140" s="318"/>
      <x:c r="Q140" s="319"/>
      <x:c r="R140" s="547" t="str">
        <x:f>IF($A140="","",IF(AND($E140="Completed",OR($D140="Full Run",$D140="No-Reset Run",$D140="PB Attempt"),ISNUMBER($F140)),"Yes","No"))</x:f>
      </x:c>
      <x:c r="S140" s="548" t="str">
        <x:f>IF($R140&lt;&gt;"Yes","",IF(COUNTIFS($B$5:$B140,$B140,$R$5:$R140,"Yes",$F$5:$F140,"&lt;"&amp;$F140)=0,IF(COUNTIFS($B$5:$B140,$B140,$R$5:$R140,"Yes",$F$5:$F140,$F140)=1,"NEW PB","TIED PB"),""))</x:f>
      </x:c>
    </x:row>
    <x:row r="141" ht="36" customHeight="1">
      <x:c r="A141" s="408"/>
      <x:c r="B141" s="318"/>
      <x:c r="C141" s="318"/>
      <x:c r="D141" s="318"/>
      <x:c r="E141" s="318"/>
      <x:c r="F141" s="409"/>
      <x:c r="G141" s="410"/>
      <x:c r="H141" s="410"/>
      <x:c r="I141" s="410"/>
      <x:c r="J141" s="318"/>
      <x:c r="K141" s="318"/>
      <x:c r="L141" s="318"/>
      <x:c r="M141" s="318"/>
      <x:c r="N141" s="410"/>
      <x:c r="O141" s="410"/>
      <x:c r="P141" s="318"/>
      <x:c r="Q141" s="319"/>
      <x:c r="R141" s="547" t="str">
        <x:f>IF($A141="","",IF(AND($E141="Completed",OR($D141="Full Run",$D141="No-Reset Run",$D141="PB Attempt"),ISNUMBER($F141)),"Yes","No"))</x:f>
      </x:c>
      <x:c r="S141" s="548" t="str">
        <x:f>IF($R141&lt;&gt;"Yes","",IF(COUNTIFS($B$5:$B141,$B141,$R$5:$R141,"Yes",$F$5:$F141,"&lt;"&amp;$F141)=0,IF(COUNTIFS($B$5:$B141,$B141,$R$5:$R141,"Yes",$F$5:$F141,$F141)=1,"NEW PB","TIED PB"),""))</x:f>
      </x:c>
    </x:row>
    <x:row r="142" ht="36" customHeight="1">
      <x:c r="A142" s="408"/>
      <x:c r="B142" s="318"/>
      <x:c r="C142" s="318"/>
      <x:c r="D142" s="318"/>
      <x:c r="E142" s="318"/>
      <x:c r="F142" s="409"/>
      <x:c r="G142" s="410"/>
      <x:c r="H142" s="410"/>
      <x:c r="I142" s="410"/>
      <x:c r="J142" s="318"/>
      <x:c r="K142" s="318"/>
      <x:c r="L142" s="318"/>
      <x:c r="M142" s="318"/>
      <x:c r="N142" s="410"/>
      <x:c r="O142" s="410"/>
      <x:c r="P142" s="318"/>
      <x:c r="Q142" s="319"/>
      <x:c r="R142" s="547" t="str">
        <x:f>IF($A142="","",IF(AND($E142="Completed",OR($D142="Full Run",$D142="No-Reset Run",$D142="PB Attempt"),ISNUMBER($F142)),"Yes","No"))</x:f>
      </x:c>
      <x:c r="S142" s="548" t="str">
        <x:f>IF($R142&lt;&gt;"Yes","",IF(COUNTIFS($B$5:$B142,$B142,$R$5:$R142,"Yes",$F$5:$F142,"&lt;"&amp;$F142)=0,IF(COUNTIFS($B$5:$B142,$B142,$R$5:$R142,"Yes",$F$5:$F142,$F142)=1,"NEW PB","TIED PB"),""))</x:f>
      </x:c>
    </x:row>
    <x:row r="143" ht="36" customHeight="1">
      <x:c r="A143" s="408"/>
      <x:c r="B143" s="318"/>
      <x:c r="C143" s="318"/>
      <x:c r="D143" s="318"/>
      <x:c r="E143" s="318"/>
      <x:c r="F143" s="409"/>
      <x:c r="G143" s="410"/>
      <x:c r="H143" s="410"/>
      <x:c r="I143" s="410"/>
      <x:c r="J143" s="318"/>
      <x:c r="K143" s="318"/>
      <x:c r="L143" s="318"/>
      <x:c r="M143" s="318"/>
      <x:c r="N143" s="410"/>
      <x:c r="O143" s="410"/>
      <x:c r="P143" s="318"/>
      <x:c r="Q143" s="319"/>
      <x:c r="R143" s="547" t="str">
        <x:f>IF($A143="","",IF(AND($E143="Completed",OR($D143="Full Run",$D143="No-Reset Run",$D143="PB Attempt"),ISNUMBER($F143)),"Yes","No"))</x:f>
      </x:c>
      <x:c r="S143" s="548" t="str">
        <x:f>IF($R143&lt;&gt;"Yes","",IF(COUNTIFS($B$5:$B143,$B143,$R$5:$R143,"Yes",$F$5:$F143,"&lt;"&amp;$F143)=0,IF(COUNTIFS($B$5:$B143,$B143,$R$5:$R143,"Yes",$F$5:$F143,$F143)=1,"NEW PB","TIED PB"),""))</x:f>
      </x:c>
    </x:row>
    <x:row r="144" ht="36" customHeight="1">
      <x:c r="A144" s="408"/>
      <x:c r="B144" s="318"/>
      <x:c r="C144" s="318"/>
      <x:c r="D144" s="318"/>
      <x:c r="E144" s="318"/>
      <x:c r="F144" s="409"/>
      <x:c r="G144" s="410"/>
      <x:c r="H144" s="410"/>
      <x:c r="I144" s="410"/>
      <x:c r="J144" s="318"/>
      <x:c r="K144" s="318"/>
      <x:c r="L144" s="318"/>
      <x:c r="M144" s="318"/>
      <x:c r="N144" s="410"/>
      <x:c r="O144" s="410"/>
      <x:c r="P144" s="318"/>
      <x:c r="Q144" s="319"/>
      <x:c r="R144" s="547" t="str">
        <x:f>IF($A144="","",IF(AND($E144="Completed",OR($D144="Full Run",$D144="No-Reset Run",$D144="PB Attempt"),ISNUMBER($F144)),"Yes","No"))</x:f>
      </x:c>
      <x:c r="S144" s="548" t="str">
        <x:f>IF($R144&lt;&gt;"Yes","",IF(COUNTIFS($B$5:$B144,$B144,$R$5:$R144,"Yes",$F$5:$F144,"&lt;"&amp;$F144)=0,IF(COUNTIFS($B$5:$B144,$B144,$R$5:$R144,"Yes",$F$5:$F144,$F144)=1,"NEW PB","TIED PB"),""))</x:f>
      </x:c>
    </x:row>
    <x:row r="145" ht="36" customHeight="1">
      <x:c r="A145" s="408"/>
      <x:c r="B145" s="318"/>
      <x:c r="C145" s="318"/>
      <x:c r="D145" s="318"/>
      <x:c r="E145" s="318"/>
      <x:c r="F145" s="409"/>
      <x:c r="G145" s="410"/>
      <x:c r="H145" s="410"/>
      <x:c r="I145" s="410"/>
      <x:c r="J145" s="318"/>
      <x:c r="K145" s="318"/>
      <x:c r="L145" s="318"/>
      <x:c r="M145" s="318"/>
      <x:c r="N145" s="410"/>
      <x:c r="O145" s="410"/>
      <x:c r="P145" s="318"/>
      <x:c r="Q145" s="319"/>
      <x:c r="R145" s="547" t="str">
        <x:f>IF($A145="","",IF(AND($E145="Completed",OR($D145="Full Run",$D145="No-Reset Run",$D145="PB Attempt"),ISNUMBER($F145)),"Yes","No"))</x:f>
      </x:c>
      <x:c r="S145" s="548" t="str">
        <x:f>IF($R145&lt;&gt;"Yes","",IF(COUNTIFS($B$5:$B145,$B145,$R$5:$R145,"Yes",$F$5:$F145,"&lt;"&amp;$F145)=0,IF(COUNTIFS($B$5:$B145,$B145,$R$5:$R145,"Yes",$F$5:$F145,$F145)=1,"NEW PB","TIED PB"),""))</x:f>
      </x:c>
    </x:row>
    <x:row r="146" ht="36" customHeight="1">
      <x:c r="A146" s="408"/>
      <x:c r="B146" s="318"/>
      <x:c r="C146" s="318"/>
      <x:c r="D146" s="318"/>
      <x:c r="E146" s="318"/>
      <x:c r="F146" s="409"/>
      <x:c r="G146" s="410"/>
      <x:c r="H146" s="410"/>
      <x:c r="I146" s="410"/>
      <x:c r="J146" s="318"/>
      <x:c r="K146" s="318"/>
      <x:c r="L146" s="318"/>
      <x:c r="M146" s="318"/>
      <x:c r="N146" s="410"/>
      <x:c r="O146" s="410"/>
      <x:c r="P146" s="318"/>
      <x:c r="Q146" s="319"/>
      <x:c r="R146" s="547" t="str">
        <x:f>IF($A146="","",IF(AND($E146="Completed",OR($D146="Full Run",$D146="No-Reset Run",$D146="PB Attempt"),ISNUMBER($F146)),"Yes","No"))</x:f>
      </x:c>
      <x:c r="S146" s="548" t="str">
        <x:f>IF($R146&lt;&gt;"Yes","",IF(COUNTIFS($B$5:$B146,$B146,$R$5:$R146,"Yes",$F$5:$F146,"&lt;"&amp;$F146)=0,IF(COUNTIFS($B$5:$B146,$B146,$R$5:$R146,"Yes",$F$5:$F146,$F146)=1,"NEW PB","TIED PB"),""))</x:f>
      </x:c>
    </x:row>
    <x:row r="147" ht="36" customHeight="1">
      <x:c r="A147" s="408"/>
      <x:c r="B147" s="318"/>
      <x:c r="C147" s="318"/>
      <x:c r="D147" s="318"/>
      <x:c r="E147" s="318"/>
      <x:c r="F147" s="409"/>
      <x:c r="G147" s="410"/>
      <x:c r="H147" s="410"/>
      <x:c r="I147" s="410"/>
      <x:c r="J147" s="318"/>
      <x:c r="K147" s="318"/>
      <x:c r="L147" s="318"/>
      <x:c r="M147" s="318"/>
      <x:c r="N147" s="410"/>
      <x:c r="O147" s="410"/>
      <x:c r="P147" s="318"/>
      <x:c r="Q147" s="319"/>
      <x:c r="R147" s="547" t="str">
        <x:f>IF($A147="","",IF(AND($E147="Completed",OR($D147="Full Run",$D147="No-Reset Run",$D147="PB Attempt"),ISNUMBER($F147)),"Yes","No"))</x:f>
      </x:c>
      <x:c r="S147" s="548" t="str">
        <x:f>IF($R147&lt;&gt;"Yes","",IF(COUNTIFS($B$5:$B147,$B147,$R$5:$R147,"Yes",$F$5:$F147,"&lt;"&amp;$F147)=0,IF(COUNTIFS($B$5:$B147,$B147,$R$5:$R147,"Yes",$F$5:$F147,$F147)=1,"NEW PB","TIED PB"),""))</x:f>
      </x:c>
    </x:row>
    <x:row r="148" ht="36" customHeight="1">
      <x:c r="A148" s="408"/>
      <x:c r="B148" s="318"/>
      <x:c r="C148" s="318"/>
      <x:c r="D148" s="318"/>
      <x:c r="E148" s="318"/>
      <x:c r="F148" s="409"/>
      <x:c r="G148" s="410"/>
      <x:c r="H148" s="410"/>
      <x:c r="I148" s="410"/>
      <x:c r="J148" s="318"/>
      <x:c r="K148" s="318"/>
      <x:c r="L148" s="318"/>
      <x:c r="M148" s="318"/>
      <x:c r="N148" s="410"/>
      <x:c r="O148" s="410"/>
      <x:c r="P148" s="318"/>
      <x:c r="Q148" s="319"/>
      <x:c r="R148" s="547" t="str">
        <x:f>IF($A148="","",IF(AND($E148="Completed",OR($D148="Full Run",$D148="No-Reset Run",$D148="PB Attempt"),ISNUMBER($F148)),"Yes","No"))</x:f>
      </x:c>
      <x:c r="S148" s="548" t="str">
        <x:f>IF($R148&lt;&gt;"Yes","",IF(COUNTIFS($B$5:$B148,$B148,$R$5:$R148,"Yes",$F$5:$F148,"&lt;"&amp;$F148)=0,IF(COUNTIFS($B$5:$B148,$B148,$R$5:$R148,"Yes",$F$5:$F148,$F148)=1,"NEW PB","TIED PB"),""))</x:f>
      </x:c>
    </x:row>
    <x:row r="149" ht="36" customHeight="1">
      <x:c r="A149" s="408"/>
      <x:c r="B149" s="318"/>
      <x:c r="C149" s="318"/>
      <x:c r="D149" s="318"/>
      <x:c r="E149" s="318"/>
      <x:c r="F149" s="409"/>
      <x:c r="G149" s="410"/>
      <x:c r="H149" s="410"/>
      <x:c r="I149" s="410"/>
      <x:c r="J149" s="318"/>
      <x:c r="K149" s="318"/>
      <x:c r="L149" s="318"/>
      <x:c r="M149" s="318"/>
      <x:c r="N149" s="410"/>
      <x:c r="O149" s="410"/>
      <x:c r="P149" s="318"/>
      <x:c r="Q149" s="319"/>
      <x:c r="R149" s="547" t="str">
        <x:f>IF($A149="","",IF(AND($E149="Completed",OR($D149="Full Run",$D149="No-Reset Run",$D149="PB Attempt"),ISNUMBER($F149)),"Yes","No"))</x:f>
      </x:c>
      <x:c r="S149" s="548" t="str">
        <x:f>IF($R149&lt;&gt;"Yes","",IF(COUNTIFS($B$5:$B149,$B149,$R$5:$R149,"Yes",$F$5:$F149,"&lt;"&amp;$F149)=0,IF(COUNTIFS($B$5:$B149,$B149,$R$5:$R149,"Yes",$F$5:$F149,$F149)=1,"NEW PB","TIED PB"),""))</x:f>
      </x:c>
    </x:row>
    <x:row r="150" ht="36" customHeight="1">
      <x:c r="A150" s="408"/>
      <x:c r="B150" s="318"/>
      <x:c r="C150" s="318"/>
      <x:c r="D150" s="318"/>
      <x:c r="E150" s="318"/>
      <x:c r="F150" s="409"/>
      <x:c r="G150" s="410"/>
      <x:c r="H150" s="410"/>
      <x:c r="I150" s="410"/>
      <x:c r="J150" s="318"/>
      <x:c r="K150" s="318"/>
      <x:c r="L150" s="318"/>
      <x:c r="M150" s="318"/>
      <x:c r="N150" s="410"/>
      <x:c r="O150" s="410"/>
      <x:c r="P150" s="318"/>
      <x:c r="Q150" s="319"/>
      <x:c r="R150" s="547" t="str">
        <x:f>IF($A150="","",IF(AND($E150="Completed",OR($D150="Full Run",$D150="No-Reset Run",$D150="PB Attempt"),ISNUMBER($F150)),"Yes","No"))</x:f>
      </x:c>
      <x:c r="S150" s="548" t="str">
        <x:f>IF($R150&lt;&gt;"Yes","",IF(COUNTIFS($B$5:$B150,$B150,$R$5:$R150,"Yes",$F$5:$F150,"&lt;"&amp;$F150)=0,IF(COUNTIFS($B$5:$B150,$B150,$R$5:$R150,"Yes",$F$5:$F150,$F150)=1,"NEW PB","TIED PB"),""))</x:f>
      </x:c>
    </x:row>
    <x:row r="151" ht="36" customHeight="1">
      <x:c r="A151" s="408"/>
      <x:c r="B151" s="318"/>
      <x:c r="C151" s="318"/>
      <x:c r="D151" s="318"/>
      <x:c r="E151" s="318"/>
      <x:c r="F151" s="409"/>
      <x:c r="G151" s="410"/>
      <x:c r="H151" s="410"/>
      <x:c r="I151" s="410"/>
      <x:c r="J151" s="318"/>
      <x:c r="K151" s="318"/>
      <x:c r="L151" s="318"/>
      <x:c r="M151" s="318"/>
      <x:c r="N151" s="410"/>
      <x:c r="O151" s="410"/>
      <x:c r="P151" s="318"/>
      <x:c r="Q151" s="319"/>
      <x:c r="R151" s="547" t="str">
        <x:f>IF($A151="","",IF(AND($E151="Completed",OR($D151="Full Run",$D151="No-Reset Run",$D151="PB Attempt"),ISNUMBER($F151)),"Yes","No"))</x:f>
      </x:c>
      <x:c r="S151" s="548" t="str">
        <x:f>IF($R151&lt;&gt;"Yes","",IF(COUNTIFS($B$5:$B151,$B151,$R$5:$R151,"Yes",$F$5:$F151,"&lt;"&amp;$F151)=0,IF(COUNTIFS($B$5:$B151,$B151,$R$5:$R151,"Yes",$F$5:$F151,$F151)=1,"NEW PB","TIED PB"),""))</x:f>
      </x:c>
    </x:row>
    <x:row r="152" ht="36" customHeight="1">
      <x:c r="A152" s="408"/>
      <x:c r="B152" s="318"/>
      <x:c r="C152" s="318"/>
      <x:c r="D152" s="318"/>
      <x:c r="E152" s="318"/>
      <x:c r="F152" s="409"/>
      <x:c r="G152" s="410"/>
      <x:c r="H152" s="410"/>
      <x:c r="I152" s="410"/>
      <x:c r="J152" s="318"/>
      <x:c r="K152" s="318"/>
      <x:c r="L152" s="318"/>
      <x:c r="M152" s="318"/>
      <x:c r="N152" s="410"/>
      <x:c r="O152" s="410"/>
      <x:c r="P152" s="318"/>
      <x:c r="Q152" s="319"/>
      <x:c r="R152" s="547" t="str">
        <x:f>IF($A152="","",IF(AND($E152="Completed",OR($D152="Full Run",$D152="No-Reset Run",$D152="PB Attempt"),ISNUMBER($F152)),"Yes","No"))</x:f>
      </x:c>
      <x:c r="S152" s="548" t="str">
        <x:f>IF($R152&lt;&gt;"Yes","",IF(COUNTIFS($B$5:$B152,$B152,$R$5:$R152,"Yes",$F$5:$F152,"&lt;"&amp;$F152)=0,IF(COUNTIFS($B$5:$B152,$B152,$R$5:$R152,"Yes",$F$5:$F152,$F152)=1,"NEW PB","TIED PB"),""))</x:f>
      </x:c>
    </x:row>
    <x:row r="153" ht="36" customHeight="1">
      <x:c r="A153" s="408"/>
      <x:c r="B153" s="318"/>
      <x:c r="C153" s="318"/>
      <x:c r="D153" s="318"/>
      <x:c r="E153" s="318"/>
      <x:c r="F153" s="409"/>
      <x:c r="G153" s="410"/>
      <x:c r="H153" s="410"/>
      <x:c r="I153" s="410"/>
      <x:c r="J153" s="318"/>
      <x:c r="K153" s="318"/>
      <x:c r="L153" s="318"/>
      <x:c r="M153" s="318"/>
      <x:c r="N153" s="410"/>
      <x:c r="O153" s="410"/>
      <x:c r="P153" s="318"/>
      <x:c r="Q153" s="319"/>
      <x:c r="R153" s="547" t="str">
        <x:f>IF($A153="","",IF(AND($E153="Completed",OR($D153="Full Run",$D153="No-Reset Run",$D153="PB Attempt"),ISNUMBER($F153)),"Yes","No"))</x:f>
      </x:c>
      <x:c r="S153" s="548" t="str">
        <x:f>IF($R153&lt;&gt;"Yes","",IF(COUNTIFS($B$5:$B153,$B153,$R$5:$R153,"Yes",$F$5:$F153,"&lt;"&amp;$F153)=0,IF(COUNTIFS($B$5:$B153,$B153,$R$5:$R153,"Yes",$F$5:$F153,$F153)=1,"NEW PB","TIED PB"),""))</x:f>
      </x:c>
    </x:row>
    <x:row r="154" ht="36" customHeight="1">
      <x:c r="A154" s="408"/>
      <x:c r="B154" s="318"/>
      <x:c r="C154" s="318"/>
      <x:c r="D154" s="318"/>
      <x:c r="E154" s="318"/>
      <x:c r="F154" s="409"/>
      <x:c r="G154" s="410"/>
      <x:c r="H154" s="410"/>
      <x:c r="I154" s="410"/>
      <x:c r="J154" s="318"/>
      <x:c r="K154" s="318"/>
      <x:c r="L154" s="318"/>
      <x:c r="M154" s="318"/>
      <x:c r="N154" s="410"/>
      <x:c r="O154" s="410"/>
      <x:c r="P154" s="318"/>
      <x:c r="Q154" s="319"/>
      <x:c r="R154" s="547" t="str">
        <x:f>IF($A154="","",IF(AND($E154="Completed",OR($D154="Full Run",$D154="No-Reset Run",$D154="PB Attempt"),ISNUMBER($F154)),"Yes","No"))</x:f>
      </x:c>
      <x:c r="S154" s="548" t="str">
        <x:f>IF($R154&lt;&gt;"Yes","",IF(COUNTIFS($B$5:$B154,$B154,$R$5:$R154,"Yes",$F$5:$F154,"&lt;"&amp;$F154)=0,IF(COUNTIFS($B$5:$B154,$B154,$R$5:$R154,"Yes",$F$5:$F154,$F154)=1,"NEW PB","TIED PB"),""))</x:f>
      </x:c>
    </x:row>
    <x:row r="155" ht="36" customHeight="1">
      <x:c r="A155" s="408"/>
      <x:c r="B155" s="318"/>
      <x:c r="C155" s="318"/>
      <x:c r="D155" s="318"/>
      <x:c r="E155" s="318"/>
      <x:c r="F155" s="409"/>
      <x:c r="G155" s="410"/>
      <x:c r="H155" s="410"/>
      <x:c r="I155" s="410"/>
      <x:c r="J155" s="318"/>
      <x:c r="K155" s="318"/>
      <x:c r="L155" s="318"/>
      <x:c r="M155" s="318"/>
      <x:c r="N155" s="410"/>
      <x:c r="O155" s="410"/>
      <x:c r="P155" s="318"/>
      <x:c r="Q155" s="319"/>
      <x:c r="R155" s="547" t="str">
        <x:f>IF($A155="","",IF(AND($E155="Completed",OR($D155="Full Run",$D155="No-Reset Run",$D155="PB Attempt"),ISNUMBER($F155)),"Yes","No"))</x:f>
      </x:c>
      <x:c r="S155" s="548" t="str">
        <x:f>IF($R155&lt;&gt;"Yes","",IF(COUNTIFS($B$5:$B155,$B155,$R$5:$R155,"Yes",$F$5:$F155,"&lt;"&amp;$F155)=0,IF(COUNTIFS($B$5:$B155,$B155,$R$5:$R155,"Yes",$F$5:$F155,$F155)=1,"NEW PB","TIED PB"),""))</x:f>
      </x:c>
    </x:row>
    <x:row r="156" ht="36" customHeight="1">
      <x:c r="A156" s="408"/>
      <x:c r="B156" s="318"/>
      <x:c r="C156" s="318"/>
      <x:c r="D156" s="318"/>
      <x:c r="E156" s="318"/>
      <x:c r="F156" s="409"/>
      <x:c r="G156" s="410"/>
      <x:c r="H156" s="410"/>
      <x:c r="I156" s="410"/>
      <x:c r="J156" s="318"/>
      <x:c r="K156" s="318"/>
      <x:c r="L156" s="318"/>
      <x:c r="M156" s="318"/>
      <x:c r="N156" s="410"/>
      <x:c r="O156" s="410"/>
      <x:c r="P156" s="318"/>
      <x:c r="Q156" s="319"/>
      <x:c r="R156" s="547" t="str">
        <x:f>IF($A156="","",IF(AND($E156="Completed",OR($D156="Full Run",$D156="No-Reset Run",$D156="PB Attempt"),ISNUMBER($F156)),"Yes","No"))</x:f>
      </x:c>
      <x:c r="S156" s="548" t="str">
        <x:f>IF($R156&lt;&gt;"Yes","",IF(COUNTIFS($B$5:$B156,$B156,$R$5:$R156,"Yes",$F$5:$F156,"&lt;"&amp;$F156)=0,IF(COUNTIFS($B$5:$B156,$B156,$R$5:$R156,"Yes",$F$5:$F156,$F156)=1,"NEW PB","TIED PB"),""))</x:f>
      </x:c>
    </x:row>
    <x:row r="157" ht="36" customHeight="1">
      <x:c r="A157" s="408"/>
      <x:c r="B157" s="318"/>
      <x:c r="C157" s="318"/>
      <x:c r="D157" s="318"/>
      <x:c r="E157" s="318"/>
      <x:c r="F157" s="409"/>
      <x:c r="G157" s="410"/>
      <x:c r="H157" s="410"/>
      <x:c r="I157" s="410"/>
      <x:c r="J157" s="318"/>
      <x:c r="K157" s="318"/>
      <x:c r="L157" s="318"/>
      <x:c r="M157" s="318"/>
      <x:c r="N157" s="410"/>
      <x:c r="O157" s="410"/>
      <x:c r="P157" s="318"/>
      <x:c r="Q157" s="319"/>
      <x:c r="R157" s="547" t="str">
        <x:f>IF($A157="","",IF(AND($E157="Completed",OR($D157="Full Run",$D157="No-Reset Run",$D157="PB Attempt"),ISNUMBER($F157)),"Yes","No"))</x:f>
      </x:c>
      <x:c r="S157" s="548" t="str">
        <x:f>IF($R157&lt;&gt;"Yes","",IF(COUNTIFS($B$5:$B157,$B157,$R$5:$R157,"Yes",$F$5:$F157,"&lt;"&amp;$F157)=0,IF(COUNTIFS($B$5:$B157,$B157,$R$5:$R157,"Yes",$F$5:$F157,$F157)=1,"NEW PB","TIED PB"),""))</x:f>
      </x:c>
    </x:row>
    <x:row r="158" ht="36" customHeight="1">
      <x:c r="A158" s="408"/>
      <x:c r="B158" s="318"/>
      <x:c r="C158" s="318"/>
      <x:c r="D158" s="318"/>
      <x:c r="E158" s="318"/>
      <x:c r="F158" s="409"/>
      <x:c r="G158" s="410"/>
      <x:c r="H158" s="410"/>
      <x:c r="I158" s="410"/>
      <x:c r="J158" s="318"/>
      <x:c r="K158" s="318"/>
      <x:c r="L158" s="318"/>
      <x:c r="M158" s="318"/>
      <x:c r="N158" s="410"/>
      <x:c r="O158" s="410"/>
      <x:c r="P158" s="318"/>
      <x:c r="Q158" s="319"/>
      <x:c r="R158" s="547" t="str">
        <x:f>IF($A158="","",IF(AND($E158="Completed",OR($D158="Full Run",$D158="No-Reset Run",$D158="PB Attempt"),ISNUMBER($F158)),"Yes","No"))</x:f>
      </x:c>
      <x:c r="S158" s="548" t="str">
        <x:f>IF($R158&lt;&gt;"Yes","",IF(COUNTIFS($B$5:$B158,$B158,$R$5:$R158,"Yes",$F$5:$F158,"&lt;"&amp;$F158)=0,IF(COUNTIFS($B$5:$B158,$B158,$R$5:$R158,"Yes",$F$5:$F158,$F158)=1,"NEW PB","TIED PB"),""))</x:f>
      </x:c>
    </x:row>
    <x:row r="159" ht="36" customHeight="1">
      <x:c r="A159" s="408"/>
      <x:c r="B159" s="318"/>
      <x:c r="C159" s="318"/>
      <x:c r="D159" s="318"/>
      <x:c r="E159" s="318"/>
      <x:c r="F159" s="409"/>
      <x:c r="G159" s="410"/>
      <x:c r="H159" s="410"/>
      <x:c r="I159" s="410"/>
      <x:c r="J159" s="318"/>
      <x:c r="K159" s="318"/>
      <x:c r="L159" s="318"/>
      <x:c r="M159" s="318"/>
      <x:c r="N159" s="410"/>
      <x:c r="O159" s="410"/>
      <x:c r="P159" s="318"/>
      <x:c r="Q159" s="319"/>
      <x:c r="R159" s="547" t="str">
        <x:f>IF($A159="","",IF(AND($E159="Completed",OR($D159="Full Run",$D159="No-Reset Run",$D159="PB Attempt"),ISNUMBER($F159)),"Yes","No"))</x:f>
      </x:c>
      <x:c r="S159" s="548" t="str">
        <x:f>IF($R159&lt;&gt;"Yes","",IF(COUNTIFS($B$5:$B159,$B159,$R$5:$R159,"Yes",$F$5:$F159,"&lt;"&amp;$F159)=0,IF(COUNTIFS($B$5:$B159,$B159,$R$5:$R159,"Yes",$F$5:$F159,$F159)=1,"NEW PB","TIED PB"),""))</x:f>
      </x:c>
    </x:row>
    <x:row r="160" ht="36" customHeight="1">
      <x:c r="A160" s="408"/>
      <x:c r="B160" s="318"/>
      <x:c r="C160" s="318"/>
      <x:c r="D160" s="318"/>
      <x:c r="E160" s="318"/>
      <x:c r="F160" s="409"/>
      <x:c r="G160" s="410"/>
      <x:c r="H160" s="410"/>
      <x:c r="I160" s="410"/>
      <x:c r="J160" s="318"/>
      <x:c r="K160" s="318"/>
      <x:c r="L160" s="318"/>
      <x:c r="M160" s="318"/>
      <x:c r="N160" s="410"/>
      <x:c r="O160" s="410"/>
      <x:c r="P160" s="318"/>
      <x:c r="Q160" s="319"/>
      <x:c r="R160" s="547" t="str">
        <x:f>IF($A160="","",IF(AND($E160="Completed",OR($D160="Full Run",$D160="No-Reset Run",$D160="PB Attempt"),ISNUMBER($F160)),"Yes","No"))</x:f>
      </x:c>
      <x:c r="S160" s="548" t="str">
        <x:f>IF($R160&lt;&gt;"Yes","",IF(COUNTIFS($B$5:$B160,$B160,$R$5:$R160,"Yes",$F$5:$F160,"&lt;"&amp;$F160)=0,IF(COUNTIFS($B$5:$B160,$B160,$R$5:$R160,"Yes",$F$5:$F160,$F160)=1,"NEW PB","TIED PB"),""))</x:f>
      </x:c>
    </x:row>
    <x:row r="161" ht="36" customHeight="1">
      <x:c r="A161" s="408"/>
      <x:c r="B161" s="318"/>
      <x:c r="C161" s="318"/>
      <x:c r="D161" s="318"/>
      <x:c r="E161" s="318"/>
      <x:c r="F161" s="409"/>
      <x:c r="G161" s="410"/>
      <x:c r="H161" s="410"/>
      <x:c r="I161" s="410"/>
      <x:c r="J161" s="318"/>
      <x:c r="K161" s="318"/>
      <x:c r="L161" s="318"/>
      <x:c r="M161" s="318"/>
      <x:c r="N161" s="410"/>
      <x:c r="O161" s="410"/>
      <x:c r="P161" s="318"/>
      <x:c r="Q161" s="319"/>
      <x:c r="R161" s="547" t="str">
        <x:f>IF($A161="","",IF(AND($E161="Completed",OR($D161="Full Run",$D161="No-Reset Run",$D161="PB Attempt"),ISNUMBER($F161)),"Yes","No"))</x:f>
      </x:c>
      <x:c r="S161" s="548" t="str">
        <x:f>IF($R161&lt;&gt;"Yes","",IF(COUNTIFS($B$5:$B161,$B161,$R$5:$R161,"Yes",$F$5:$F161,"&lt;"&amp;$F161)=0,IF(COUNTIFS($B$5:$B161,$B161,$R$5:$R161,"Yes",$F$5:$F161,$F161)=1,"NEW PB","TIED PB"),""))</x:f>
      </x:c>
    </x:row>
    <x:row r="162" ht="36" customHeight="1">
      <x:c r="A162" s="408"/>
      <x:c r="B162" s="318"/>
      <x:c r="C162" s="318"/>
      <x:c r="D162" s="318"/>
      <x:c r="E162" s="318"/>
      <x:c r="F162" s="409"/>
      <x:c r="G162" s="410"/>
      <x:c r="H162" s="410"/>
      <x:c r="I162" s="410"/>
      <x:c r="J162" s="318"/>
      <x:c r="K162" s="318"/>
      <x:c r="L162" s="318"/>
      <x:c r="M162" s="318"/>
      <x:c r="N162" s="410"/>
      <x:c r="O162" s="410"/>
      <x:c r="P162" s="318"/>
      <x:c r="Q162" s="319"/>
      <x:c r="R162" s="547" t="str">
        <x:f>IF($A162="","",IF(AND($E162="Completed",OR($D162="Full Run",$D162="No-Reset Run",$D162="PB Attempt"),ISNUMBER($F162)),"Yes","No"))</x:f>
      </x:c>
      <x:c r="S162" s="548" t="str">
        <x:f>IF($R162&lt;&gt;"Yes","",IF(COUNTIFS($B$5:$B162,$B162,$R$5:$R162,"Yes",$F$5:$F162,"&lt;"&amp;$F162)=0,IF(COUNTIFS($B$5:$B162,$B162,$R$5:$R162,"Yes",$F$5:$F162,$F162)=1,"NEW PB","TIED PB"),""))</x:f>
      </x:c>
    </x:row>
    <x:row r="163" ht="36" customHeight="1">
      <x:c r="A163" s="408"/>
      <x:c r="B163" s="318"/>
      <x:c r="C163" s="318"/>
      <x:c r="D163" s="318"/>
      <x:c r="E163" s="318"/>
      <x:c r="F163" s="409"/>
      <x:c r="G163" s="410"/>
      <x:c r="H163" s="410"/>
      <x:c r="I163" s="410"/>
      <x:c r="J163" s="318"/>
      <x:c r="K163" s="318"/>
      <x:c r="L163" s="318"/>
      <x:c r="M163" s="318"/>
      <x:c r="N163" s="410"/>
      <x:c r="O163" s="410"/>
      <x:c r="P163" s="318"/>
      <x:c r="Q163" s="319"/>
      <x:c r="R163" s="547" t="str">
        <x:f>IF($A163="","",IF(AND($E163="Completed",OR($D163="Full Run",$D163="No-Reset Run",$D163="PB Attempt"),ISNUMBER($F163)),"Yes","No"))</x:f>
      </x:c>
      <x:c r="S163" s="548" t="str">
        <x:f>IF($R163&lt;&gt;"Yes","",IF(COUNTIFS($B$5:$B163,$B163,$R$5:$R163,"Yes",$F$5:$F163,"&lt;"&amp;$F163)=0,IF(COUNTIFS($B$5:$B163,$B163,$R$5:$R163,"Yes",$F$5:$F163,$F163)=1,"NEW PB","TIED PB"),""))</x:f>
      </x:c>
    </x:row>
    <x:row r="164" ht="36" customHeight="1">
      <x:c r="A164" s="408"/>
      <x:c r="B164" s="318"/>
      <x:c r="C164" s="318"/>
      <x:c r="D164" s="318"/>
      <x:c r="E164" s="318"/>
      <x:c r="F164" s="409"/>
      <x:c r="G164" s="410"/>
      <x:c r="H164" s="410"/>
      <x:c r="I164" s="410"/>
      <x:c r="J164" s="318"/>
      <x:c r="K164" s="318"/>
      <x:c r="L164" s="318"/>
      <x:c r="M164" s="318"/>
      <x:c r="N164" s="410"/>
      <x:c r="O164" s="410"/>
      <x:c r="P164" s="318"/>
      <x:c r="Q164" s="319"/>
      <x:c r="R164" s="547" t="str">
        <x:f>IF($A164="","",IF(AND($E164="Completed",OR($D164="Full Run",$D164="No-Reset Run",$D164="PB Attempt"),ISNUMBER($F164)),"Yes","No"))</x:f>
      </x:c>
      <x:c r="S164" s="548" t="str">
        <x:f>IF($R164&lt;&gt;"Yes","",IF(COUNTIFS($B$5:$B164,$B164,$R$5:$R164,"Yes",$F$5:$F164,"&lt;"&amp;$F164)=0,IF(COUNTIFS($B$5:$B164,$B164,$R$5:$R164,"Yes",$F$5:$F164,$F164)=1,"NEW PB","TIED PB"),""))</x:f>
      </x:c>
    </x:row>
    <x:row r="165" ht="36" customHeight="1">
      <x:c r="A165" s="408"/>
      <x:c r="B165" s="318"/>
      <x:c r="C165" s="318"/>
      <x:c r="D165" s="318"/>
      <x:c r="E165" s="318"/>
      <x:c r="F165" s="409"/>
      <x:c r="G165" s="410"/>
      <x:c r="H165" s="410"/>
      <x:c r="I165" s="410"/>
      <x:c r="J165" s="318"/>
      <x:c r="K165" s="318"/>
      <x:c r="L165" s="318"/>
      <x:c r="M165" s="318"/>
      <x:c r="N165" s="410"/>
      <x:c r="O165" s="410"/>
      <x:c r="P165" s="318"/>
      <x:c r="Q165" s="319"/>
      <x:c r="R165" s="547" t="str">
        <x:f>IF($A165="","",IF(AND($E165="Completed",OR($D165="Full Run",$D165="No-Reset Run",$D165="PB Attempt"),ISNUMBER($F165)),"Yes","No"))</x:f>
      </x:c>
      <x:c r="S165" s="548" t="str">
        <x:f>IF($R165&lt;&gt;"Yes","",IF(COUNTIFS($B$5:$B165,$B165,$R$5:$R165,"Yes",$F$5:$F165,"&lt;"&amp;$F165)=0,IF(COUNTIFS($B$5:$B165,$B165,$R$5:$R165,"Yes",$F$5:$F165,$F165)=1,"NEW PB","TIED PB"),""))</x:f>
      </x:c>
    </x:row>
    <x:row r="166" ht="36" customHeight="1">
      <x:c r="A166" s="408"/>
      <x:c r="B166" s="318"/>
      <x:c r="C166" s="318"/>
      <x:c r="D166" s="318"/>
      <x:c r="E166" s="318"/>
      <x:c r="F166" s="409"/>
      <x:c r="G166" s="410"/>
      <x:c r="H166" s="410"/>
      <x:c r="I166" s="410"/>
      <x:c r="J166" s="318"/>
      <x:c r="K166" s="318"/>
      <x:c r="L166" s="318"/>
      <x:c r="M166" s="318"/>
      <x:c r="N166" s="410"/>
      <x:c r="O166" s="410"/>
      <x:c r="P166" s="318"/>
      <x:c r="Q166" s="319"/>
      <x:c r="R166" s="547" t="str">
        <x:f>IF($A166="","",IF(AND($E166="Completed",OR($D166="Full Run",$D166="No-Reset Run",$D166="PB Attempt"),ISNUMBER($F166)),"Yes","No"))</x:f>
      </x:c>
      <x:c r="S166" s="548" t="str">
        <x:f>IF($R166&lt;&gt;"Yes","",IF(COUNTIFS($B$5:$B166,$B166,$R$5:$R166,"Yes",$F$5:$F166,"&lt;"&amp;$F166)=0,IF(COUNTIFS($B$5:$B166,$B166,$R$5:$R166,"Yes",$F$5:$F166,$F166)=1,"NEW PB","TIED PB"),""))</x:f>
      </x:c>
    </x:row>
    <x:row r="167" ht="36" customHeight="1">
      <x:c r="A167" s="408"/>
      <x:c r="B167" s="318"/>
      <x:c r="C167" s="318"/>
      <x:c r="D167" s="318"/>
      <x:c r="E167" s="318"/>
      <x:c r="F167" s="409"/>
      <x:c r="G167" s="410"/>
      <x:c r="H167" s="410"/>
      <x:c r="I167" s="410"/>
      <x:c r="J167" s="318"/>
      <x:c r="K167" s="318"/>
      <x:c r="L167" s="318"/>
      <x:c r="M167" s="318"/>
      <x:c r="N167" s="410"/>
      <x:c r="O167" s="410"/>
      <x:c r="P167" s="318"/>
      <x:c r="Q167" s="319"/>
      <x:c r="R167" s="547" t="str">
        <x:f>IF($A167="","",IF(AND($E167="Completed",OR($D167="Full Run",$D167="No-Reset Run",$D167="PB Attempt"),ISNUMBER($F167)),"Yes","No"))</x:f>
      </x:c>
      <x:c r="S167" s="548" t="str">
        <x:f>IF($R167&lt;&gt;"Yes","",IF(COUNTIFS($B$5:$B167,$B167,$R$5:$R167,"Yes",$F$5:$F167,"&lt;"&amp;$F167)=0,IF(COUNTIFS($B$5:$B167,$B167,$R$5:$R167,"Yes",$F$5:$F167,$F167)=1,"NEW PB","TIED PB"),""))</x:f>
      </x:c>
    </x:row>
    <x:row r="168" ht="36" customHeight="1">
      <x:c r="A168" s="408"/>
      <x:c r="B168" s="318"/>
      <x:c r="C168" s="318"/>
      <x:c r="D168" s="318"/>
      <x:c r="E168" s="318"/>
      <x:c r="F168" s="409"/>
      <x:c r="G168" s="410"/>
      <x:c r="H168" s="410"/>
      <x:c r="I168" s="410"/>
      <x:c r="J168" s="318"/>
      <x:c r="K168" s="318"/>
      <x:c r="L168" s="318"/>
      <x:c r="M168" s="318"/>
      <x:c r="N168" s="410"/>
      <x:c r="O168" s="410"/>
      <x:c r="P168" s="318"/>
      <x:c r="Q168" s="319"/>
      <x:c r="R168" s="547" t="str">
        <x:f>IF($A168="","",IF(AND($E168="Completed",OR($D168="Full Run",$D168="No-Reset Run",$D168="PB Attempt"),ISNUMBER($F168)),"Yes","No"))</x:f>
      </x:c>
      <x:c r="S168" s="548" t="str">
        <x:f>IF($R168&lt;&gt;"Yes","",IF(COUNTIFS($B$5:$B168,$B168,$R$5:$R168,"Yes",$F$5:$F168,"&lt;"&amp;$F168)=0,IF(COUNTIFS($B$5:$B168,$B168,$R$5:$R168,"Yes",$F$5:$F168,$F168)=1,"NEW PB","TIED PB"),""))</x:f>
      </x:c>
    </x:row>
    <x:row r="169" ht="36" customHeight="1">
      <x:c r="A169" s="408"/>
      <x:c r="B169" s="318"/>
      <x:c r="C169" s="318"/>
      <x:c r="D169" s="318"/>
      <x:c r="E169" s="318"/>
      <x:c r="F169" s="409"/>
      <x:c r="G169" s="410"/>
      <x:c r="H169" s="410"/>
      <x:c r="I169" s="410"/>
      <x:c r="J169" s="318"/>
      <x:c r="K169" s="318"/>
      <x:c r="L169" s="318"/>
      <x:c r="M169" s="318"/>
      <x:c r="N169" s="410"/>
      <x:c r="O169" s="410"/>
      <x:c r="P169" s="318"/>
      <x:c r="Q169" s="319"/>
      <x:c r="R169" s="547" t="str">
        <x:f>IF($A169="","",IF(AND($E169="Completed",OR($D169="Full Run",$D169="No-Reset Run",$D169="PB Attempt"),ISNUMBER($F169)),"Yes","No"))</x:f>
      </x:c>
      <x:c r="S169" s="548" t="str">
        <x:f>IF($R169&lt;&gt;"Yes","",IF(COUNTIFS($B$5:$B169,$B169,$R$5:$R169,"Yes",$F$5:$F169,"&lt;"&amp;$F169)=0,IF(COUNTIFS($B$5:$B169,$B169,$R$5:$R169,"Yes",$F$5:$F169,$F169)=1,"NEW PB","TIED PB"),""))</x:f>
      </x:c>
    </x:row>
    <x:row r="170" ht="36" customHeight="1">
      <x:c r="A170" s="408"/>
      <x:c r="B170" s="318"/>
      <x:c r="C170" s="318"/>
      <x:c r="D170" s="318"/>
      <x:c r="E170" s="318"/>
      <x:c r="F170" s="409"/>
      <x:c r="G170" s="410"/>
      <x:c r="H170" s="410"/>
      <x:c r="I170" s="410"/>
      <x:c r="J170" s="318"/>
      <x:c r="K170" s="318"/>
      <x:c r="L170" s="318"/>
      <x:c r="M170" s="318"/>
      <x:c r="N170" s="410"/>
      <x:c r="O170" s="410"/>
      <x:c r="P170" s="318"/>
      <x:c r="Q170" s="319"/>
      <x:c r="R170" s="547" t="str">
        <x:f>IF($A170="","",IF(AND($E170="Completed",OR($D170="Full Run",$D170="No-Reset Run",$D170="PB Attempt"),ISNUMBER($F170)),"Yes","No"))</x:f>
      </x:c>
      <x:c r="S170" s="548" t="str">
        <x:f>IF($R170&lt;&gt;"Yes","",IF(COUNTIFS($B$5:$B170,$B170,$R$5:$R170,"Yes",$F$5:$F170,"&lt;"&amp;$F170)=0,IF(COUNTIFS($B$5:$B170,$B170,$R$5:$R170,"Yes",$F$5:$F170,$F170)=1,"NEW PB","TIED PB"),""))</x:f>
      </x:c>
    </x:row>
    <x:row r="171" ht="36" customHeight="1">
      <x:c r="A171" s="408"/>
      <x:c r="B171" s="318"/>
      <x:c r="C171" s="318"/>
      <x:c r="D171" s="318"/>
      <x:c r="E171" s="318"/>
      <x:c r="F171" s="409"/>
      <x:c r="G171" s="410"/>
      <x:c r="H171" s="410"/>
      <x:c r="I171" s="410"/>
      <x:c r="J171" s="318"/>
      <x:c r="K171" s="318"/>
      <x:c r="L171" s="318"/>
      <x:c r="M171" s="318"/>
      <x:c r="N171" s="410"/>
      <x:c r="O171" s="410"/>
      <x:c r="P171" s="318"/>
      <x:c r="Q171" s="319"/>
      <x:c r="R171" s="547" t="str">
        <x:f>IF($A171="","",IF(AND($E171="Completed",OR($D171="Full Run",$D171="No-Reset Run",$D171="PB Attempt"),ISNUMBER($F171)),"Yes","No"))</x:f>
      </x:c>
      <x:c r="S171" s="548" t="str">
        <x:f>IF($R171&lt;&gt;"Yes","",IF(COUNTIFS($B$5:$B171,$B171,$R$5:$R171,"Yes",$F$5:$F171,"&lt;"&amp;$F171)=0,IF(COUNTIFS($B$5:$B171,$B171,$R$5:$R171,"Yes",$F$5:$F171,$F171)=1,"NEW PB","TIED PB"),""))</x:f>
      </x:c>
    </x:row>
    <x:row r="172" ht="36" customHeight="1">
      <x:c r="A172" s="408"/>
      <x:c r="B172" s="318"/>
      <x:c r="C172" s="318"/>
      <x:c r="D172" s="318"/>
      <x:c r="E172" s="318"/>
      <x:c r="F172" s="409"/>
      <x:c r="G172" s="410"/>
      <x:c r="H172" s="410"/>
      <x:c r="I172" s="410"/>
      <x:c r="J172" s="318"/>
      <x:c r="K172" s="318"/>
      <x:c r="L172" s="318"/>
      <x:c r="M172" s="318"/>
      <x:c r="N172" s="410"/>
      <x:c r="O172" s="410"/>
      <x:c r="P172" s="318"/>
      <x:c r="Q172" s="319"/>
      <x:c r="R172" s="547" t="str">
        <x:f>IF($A172="","",IF(AND($E172="Completed",OR($D172="Full Run",$D172="No-Reset Run",$D172="PB Attempt"),ISNUMBER($F172)),"Yes","No"))</x:f>
      </x:c>
      <x:c r="S172" s="548" t="str">
        <x:f>IF($R172&lt;&gt;"Yes","",IF(COUNTIFS($B$5:$B172,$B172,$R$5:$R172,"Yes",$F$5:$F172,"&lt;"&amp;$F172)=0,IF(COUNTIFS($B$5:$B172,$B172,$R$5:$R172,"Yes",$F$5:$F172,$F172)=1,"NEW PB","TIED PB"),""))</x:f>
      </x:c>
    </x:row>
    <x:row r="173" ht="36" customHeight="1">
      <x:c r="A173" s="408"/>
      <x:c r="B173" s="318"/>
      <x:c r="C173" s="318"/>
      <x:c r="D173" s="318"/>
      <x:c r="E173" s="318"/>
      <x:c r="F173" s="409"/>
      <x:c r="G173" s="410"/>
      <x:c r="H173" s="410"/>
      <x:c r="I173" s="410"/>
      <x:c r="J173" s="318"/>
      <x:c r="K173" s="318"/>
      <x:c r="L173" s="318"/>
      <x:c r="M173" s="318"/>
      <x:c r="N173" s="410"/>
      <x:c r="O173" s="410"/>
      <x:c r="P173" s="318"/>
      <x:c r="Q173" s="319"/>
      <x:c r="R173" s="547" t="str">
        <x:f>IF($A173="","",IF(AND($E173="Completed",OR($D173="Full Run",$D173="No-Reset Run",$D173="PB Attempt"),ISNUMBER($F173)),"Yes","No"))</x:f>
      </x:c>
      <x:c r="S173" s="548" t="str">
        <x:f>IF($R173&lt;&gt;"Yes","",IF(COUNTIFS($B$5:$B173,$B173,$R$5:$R173,"Yes",$F$5:$F173,"&lt;"&amp;$F173)=0,IF(COUNTIFS($B$5:$B173,$B173,$R$5:$R173,"Yes",$F$5:$F173,$F173)=1,"NEW PB","TIED PB"),""))</x:f>
      </x:c>
    </x:row>
    <x:row r="174" ht="36" customHeight="1">
      <x:c r="A174" s="408"/>
      <x:c r="B174" s="318"/>
      <x:c r="C174" s="318"/>
      <x:c r="D174" s="318"/>
      <x:c r="E174" s="318"/>
      <x:c r="F174" s="409"/>
      <x:c r="G174" s="410"/>
      <x:c r="H174" s="410"/>
      <x:c r="I174" s="410"/>
      <x:c r="J174" s="318"/>
      <x:c r="K174" s="318"/>
      <x:c r="L174" s="318"/>
      <x:c r="M174" s="318"/>
      <x:c r="N174" s="410"/>
      <x:c r="O174" s="410"/>
      <x:c r="P174" s="318"/>
      <x:c r="Q174" s="319"/>
      <x:c r="R174" s="547" t="str">
        <x:f>IF($A174="","",IF(AND($E174="Completed",OR($D174="Full Run",$D174="No-Reset Run",$D174="PB Attempt"),ISNUMBER($F174)),"Yes","No"))</x:f>
      </x:c>
      <x:c r="S174" s="548" t="str">
        <x:f>IF($R174&lt;&gt;"Yes","",IF(COUNTIFS($B$5:$B174,$B174,$R$5:$R174,"Yes",$F$5:$F174,"&lt;"&amp;$F174)=0,IF(COUNTIFS($B$5:$B174,$B174,$R$5:$R174,"Yes",$F$5:$F174,$F174)=1,"NEW PB","TIED PB"),""))</x:f>
      </x:c>
    </x:row>
    <x:row r="175" ht="36" customHeight="1">
      <x:c r="A175" s="408"/>
      <x:c r="B175" s="318"/>
      <x:c r="C175" s="318"/>
      <x:c r="D175" s="318"/>
      <x:c r="E175" s="318"/>
      <x:c r="F175" s="409"/>
      <x:c r="G175" s="410"/>
      <x:c r="H175" s="410"/>
      <x:c r="I175" s="410"/>
      <x:c r="J175" s="318"/>
      <x:c r="K175" s="318"/>
      <x:c r="L175" s="318"/>
      <x:c r="M175" s="318"/>
      <x:c r="N175" s="410"/>
      <x:c r="O175" s="410"/>
      <x:c r="P175" s="318"/>
      <x:c r="Q175" s="319"/>
      <x:c r="R175" s="547" t="str">
        <x:f>IF($A175="","",IF(AND($E175="Completed",OR($D175="Full Run",$D175="No-Reset Run",$D175="PB Attempt"),ISNUMBER($F175)),"Yes","No"))</x:f>
      </x:c>
      <x:c r="S175" s="548" t="str">
        <x:f>IF($R175&lt;&gt;"Yes","",IF(COUNTIFS($B$5:$B175,$B175,$R$5:$R175,"Yes",$F$5:$F175,"&lt;"&amp;$F175)=0,IF(COUNTIFS($B$5:$B175,$B175,$R$5:$R175,"Yes",$F$5:$F175,$F175)=1,"NEW PB","TIED PB"),""))</x:f>
      </x:c>
    </x:row>
    <x:row r="176" ht="36" customHeight="1">
      <x:c r="A176" s="408"/>
      <x:c r="B176" s="318"/>
      <x:c r="C176" s="318"/>
      <x:c r="D176" s="318"/>
      <x:c r="E176" s="318"/>
      <x:c r="F176" s="409"/>
      <x:c r="G176" s="410"/>
      <x:c r="H176" s="410"/>
      <x:c r="I176" s="410"/>
      <x:c r="J176" s="318"/>
      <x:c r="K176" s="318"/>
      <x:c r="L176" s="318"/>
      <x:c r="M176" s="318"/>
      <x:c r="N176" s="410"/>
      <x:c r="O176" s="410"/>
      <x:c r="P176" s="318"/>
      <x:c r="Q176" s="319"/>
      <x:c r="R176" s="547" t="str">
        <x:f>IF($A176="","",IF(AND($E176="Completed",OR($D176="Full Run",$D176="No-Reset Run",$D176="PB Attempt"),ISNUMBER($F176)),"Yes","No"))</x:f>
      </x:c>
      <x:c r="S176" s="548" t="str">
        <x:f>IF($R176&lt;&gt;"Yes","",IF(COUNTIFS($B$5:$B176,$B176,$R$5:$R176,"Yes",$F$5:$F176,"&lt;"&amp;$F176)=0,IF(COUNTIFS($B$5:$B176,$B176,$R$5:$R176,"Yes",$F$5:$F176,$F176)=1,"NEW PB","TIED PB"),""))</x:f>
      </x:c>
    </x:row>
    <x:row r="177" ht="36" customHeight="1">
      <x:c r="A177" s="408"/>
      <x:c r="B177" s="318"/>
      <x:c r="C177" s="318"/>
      <x:c r="D177" s="318"/>
      <x:c r="E177" s="318"/>
      <x:c r="F177" s="409"/>
      <x:c r="G177" s="410"/>
      <x:c r="H177" s="410"/>
      <x:c r="I177" s="410"/>
      <x:c r="J177" s="318"/>
      <x:c r="K177" s="318"/>
      <x:c r="L177" s="318"/>
      <x:c r="M177" s="318"/>
      <x:c r="N177" s="410"/>
      <x:c r="O177" s="410"/>
      <x:c r="P177" s="318"/>
      <x:c r="Q177" s="319"/>
      <x:c r="R177" s="547" t="str">
        <x:f>IF($A177="","",IF(AND($E177="Completed",OR($D177="Full Run",$D177="No-Reset Run",$D177="PB Attempt"),ISNUMBER($F177)),"Yes","No"))</x:f>
      </x:c>
      <x:c r="S177" s="548" t="str">
        <x:f>IF($R177&lt;&gt;"Yes","",IF(COUNTIFS($B$5:$B177,$B177,$R$5:$R177,"Yes",$F$5:$F177,"&lt;"&amp;$F177)=0,IF(COUNTIFS($B$5:$B177,$B177,$R$5:$R177,"Yes",$F$5:$F177,$F177)=1,"NEW PB","TIED PB"),""))</x:f>
      </x:c>
    </x:row>
    <x:row r="178" ht="36" customHeight="1">
      <x:c r="A178" s="408"/>
      <x:c r="B178" s="318"/>
      <x:c r="C178" s="318"/>
      <x:c r="D178" s="318"/>
      <x:c r="E178" s="318"/>
      <x:c r="F178" s="409"/>
      <x:c r="G178" s="410"/>
      <x:c r="H178" s="410"/>
      <x:c r="I178" s="410"/>
      <x:c r="J178" s="318"/>
      <x:c r="K178" s="318"/>
      <x:c r="L178" s="318"/>
      <x:c r="M178" s="318"/>
      <x:c r="N178" s="410"/>
      <x:c r="O178" s="410"/>
      <x:c r="P178" s="318"/>
      <x:c r="Q178" s="319"/>
      <x:c r="R178" s="547" t="str">
        <x:f>IF($A178="","",IF(AND($E178="Completed",OR($D178="Full Run",$D178="No-Reset Run",$D178="PB Attempt"),ISNUMBER($F178)),"Yes","No"))</x:f>
      </x:c>
      <x:c r="S178" s="548" t="str">
        <x:f>IF($R178&lt;&gt;"Yes","",IF(COUNTIFS($B$5:$B178,$B178,$R$5:$R178,"Yes",$F$5:$F178,"&lt;"&amp;$F178)=0,IF(COUNTIFS($B$5:$B178,$B178,$R$5:$R178,"Yes",$F$5:$F178,$F178)=1,"NEW PB","TIED PB"),""))</x:f>
      </x:c>
    </x:row>
    <x:row r="179" ht="36" customHeight="1">
      <x:c r="A179" s="408"/>
      <x:c r="B179" s="318"/>
      <x:c r="C179" s="318"/>
      <x:c r="D179" s="318"/>
      <x:c r="E179" s="318"/>
      <x:c r="F179" s="409"/>
      <x:c r="G179" s="410"/>
      <x:c r="H179" s="410"/>
      <x:c r="I179" s="410"/>
      <x:c r="J179" s="318"/>
      <x:c r="K179" s="318"/>
      <x:c r="L179" s="318"/>
      <x:c r="M179" s="318"/>
      <x:c r="N179" s="410"/>
      <x:c r="O179" s="410"/>
      <x:c r="P179" s="318"/>
      <x:c r="Q179" s="319"/>
      <x:c r="R179" s="547" t="str">
        <x:f>IF($A179="","",IF(AND($E179="Completed",OR($D179="Full Run",$D179="No-Reset Run",$D179="PB Attempt"),ISNUMBER($F179)),"Yes","No"))</x:f>
      </x:c>
      <x:c r="S179" s="548" t="str">
        <x:f>IF($R179&lt;&gt;"Yes","",IF(COUNTIFS($B$5:$B179,$B179,$R$5:$R179,"Yes",$F$5:$F179,"&lt;"&amp;$F179)=0,IF(COUNTIFS($B$5:$B179,$B179,$R$5:$R179,"Yes",$F$5:$F179,$F179)=1,"NEW PB","TIED PB"),""))</x:f>
      </x:c>
    </x:row>
    <x:row r="180" ht="36" customHeight="1">
      <x:c r="A180" s="408"/>
      <x:c r="B180" s="318"/>
      <x:c r="C180" s="318"/>
      <x:c r="D180" s="318"/>
      <x:c r="E180" s="318"/>
      <x:c r="F180" s="409"/>
      <x:c r="G180" s="410"/>
      <x:c r="H180" s="410"/>
      <x:c r="I180" s="410"/>
      <x:c r="J180" s="318"/>
      <x:c r="K180" s="318"/>
      <x:c r="L180" s="318"/>
      <x:c r="M180" s="318"/>
      <x:c r="N180" s="410"/>
      <x:c r="O180" s="410"/>
      <x:c r="P180" s="318"/>
      <x:c r="Q180" s="319"/>
      <x:c r="R180" s="547" t="str">
        <x:f>IF($A180="","",IF(AND($E180="Completed",OR($D180="Full Run",$D180="No-Reset Run",$D180="PB Attempt"),ISNUMBER($F180)),"Yes","No"))</x:f>
      </x:c>
      <x:c r="S180" s="548" t="str">
        <x:f>IF($R180&lt;&gt;"Yes","",IF(COUNTIFS($B$5:$B180,$B180,$R$5:$R180,"Yes",$F$5:$F180,"&lt;"&amp;$F180)=0,IF(COUNTIFS($B$5:$B180,$B180,$R$5:$R180,"Yes",$F$5:$F180,$F180)=1,"NEW PB","TIED PB"),""))</x:f>
      </x:c>
    </x:row>
    <x:row r="181" ht="36" customHeight="1">
      <x:c r="A181" s="408"/>
      <x:c r="B181" s="318"/>
      <x:c r="C181" s="318"/>
      <x:c r="D181" s="318"/>
      <x:c r="E181" s="318"/>
      <x:c r="F181" s="409"/>
      <x:c r="G181" s="410"/>
      <x:c r="H181" s="410"/>
      <x:c r="I181" s="410"/>
      <x:c r="J181" s="318"/>
      <x:c r="K181" s="318"/>
      <x:c r="L181" s="318"/>
      <x:c r="M181" s="318"/>
      <x:c r="N181" s="410"/>
      <x:c r="O181" s="410"/>
      <x:c r="P181" s="318"/>
      <x:c r="Q181" s="319"/>
      <x:c r="R181" s="547" t="str">
        <x:f>IF($A181="","",IF(AND($E181="Completed",OR($D181="Full Run",$D181="No-Reset Run",$D181="PB Attempt"),ISNUMBER($F181)),"Yes","No"))</x:f>
      </x:c>
      <x:c r="S181" s="548" t="str">
        <x:f>IF($R181&lt;&gt;"Yes","",IF(COUNTIFS($B$5:$B181,$B181,$R$5:$R181,"Yes",$F$5:$F181,"&lt;"&amp;$F181)=0,IF(COUNTIFS($B$5:$B181,$B181,$R$5:$R181,"Yes",$F$5:$F181,$F181)=1,"NEW PB","TIED PB"),""))</x:f>
      </x:c>
    </x:row>
    <x:row r="182" ht="36" customHeight="1">
      <x:c r="A182" s="408"/>
      <x:c r="B182" s="318"/>
      <x:c r="C182" s="318"/>
      <x:c r="D182" s="318"/>
      <x:c r="E182" s="318"/>
      <x:c r="F182" s="409"/>
      <x:c r="G182" s="410"/>
      <x:c r="H182" s="410"/>
      <x:c r="I182" s="410"/>
      <x:c r="J182" s="318"/>
      <x:c r="K182" s="318"/>
      <x:c r="L182" s="318"/>
      <x:c r="M182" s="318"/>
      <x:c r="N182" s="410"/>
      <x:c r="O182" s="410"/>
      <x:c r="P182" s="318"/>
      <x:c r="Q182" s="319"/>
      <x:c r="R182" s="547" t="str">
        <x:f>IF($A182="","",IF(AND($E182="Completed",OR($D182="Full Run",$D182="No-Reset Run",$D182="PB Attempt"),ISNUMBER($F182)),"Yes","No"))</x:f>
      </x:c>
      <x:c r="S182" s="548" t="str">
        <x:f>IF($R182&lt;&gt;"Yes","",IF(COUNTIFS($B$5:$B182,$B182,$R$5:$R182,"Yes",$F$5:$F182,"&lt;"&amp;$F182)=0,IF(COUNTIFS($B$5:$B182,$B182,$R$5:$R182,"Yes",$F$5:$F182,$F182)=1,"NEW PB","TIED PB"),""))</x:f>
      </x:c>
    </x:row>
    <x:row r="183" ht="36" customHeight="1">
      <x:c r="A183" s="408"/>
      <x:c r="B183" s="318"/>
      <x:c r="C183" s="318"/>
      <x:c r="D183" s="318"/>
      <x:c r="E183" s="318"/>
      <x:c r="F183" s="409"/>
      <x:c r="G183" s="410"/>
      <x:c r="H183" s="410"/>
      <x:c r="I183" s="410"/>
      <x:c r="J183" s="318"/>
      <x:c r="K183" s="318"/>
      <x:c r="L183" s="318"/>
      <x:c r="M183" s="318"/>
      <x:c r="N183" s="410"/>
      <x:c r="O183" s="410"/>
      <x:c r="P183" s="318"/>
      <x:c r="Q183" s="319"/>
      <x:c r="R183" s="547" t="str">
        <x:f>IF($A183="","",IF(AND($E183="Completed",OR($D183="Full Run",$D183="No-Reset Run",$D183="PB Attempt"),ISNUMBER($F183)),"Yes","No"))</x:f>
      </x:c>
      <x:c r="S183" s="548" t="str">
        <x:f>IF($R183&lt;&gt;"Yes","",IF(COUNTIFS($B$5:$B183,$B183,$R$5:$R183,"Yes",$F$5:$F183,"&lt;"&amp;$F183)=0,IF(COUNTIFS($B$5:$B183,$B183,$R$5:$R183,"Yes",$F$5:$F183,$F183)=1,"NEW PB","TIED PB"),""))</x:f>
      </x:c>
    </x:row>
    <x:row r="184" ht="36" customHeight="1">
      <x:c r="A184" s="408"/>
      <x:c r="B184" s="318"/>
      <x:c r="C184" s="318"/>
      <x:c r="D184" s="318"/>
      <x:c r="E184" s="318"/>
      <x:c r="F184" s="409"/>
      <x:c r="G184" s="410"/>
      <x:c r="H184" s="410"/>
      <x:c r="I184" s="410"/>
      <x:c r="J184" s="318"/>
      <x:c r="K184" s="318"/>
      <x:c r="L184" s="318"/>
      <x:c r="M184" s="318"/>
      <x:c r="N184" s="410"/>
      <x:c r="O184" s="410"/>
      <x:c r="P184" s="318"/>
      <x:c r="Q184" s="319"/>
      <x:c r="R184" s="547" t="str">
        <x:f>IF($A184="","",IF(AND($E184="Completed",OR($D184="Full Run",$D184="No-Reset Run",$D184="PB Attempt"),ISNUMBER($F184)),"Yes","No"))</x:f>
      </x:c>
      <x:c r="S184" s="548" t="str">
        <x:f>IF($R184&lt;&gt;"Yes","",IF(COUNTIFS($B$5:$B184,$B184,$R$5:$R184,"Yes",$F$5:$F184,"&lt;"&amp;$F184)=0,IF(COUNTIFS($B$5:$B184,$B184,$R$5:$R184,"Yes",$F$5:$F184,$F184)=1,"NEW PB","TIED PB"),""))</x:f>
      </x:c>
    </x:row>
    <x:row r="185" ht="36" customHeight="1">
      <x:c r="A185" s="408"/>
      <x:c r="B185" s="318"/>
      <x:c r="C185" s="318"/>
      <x:c r="D185" s="318"/>
      <x:c r="E185" s="318"/>
      <x:c r="F185" s="409"/>
      <x:c r="G185" s="410"/>
      <x:c r="H185" s="410"/>
      <x:c r="I185" s="410"/>
      <x:c r="J185" s="318"/>
      <x:c r="K185" s="318"/>
      <x:c r="L185" s="318"/>
      <x:c r="M185" s="318"/>
      <x:c r="N185" s="410"/>
      <x:c r="O185" s="410"/>
      <x:c r="P185" s="318"/>
      <x:c r="Q185" s="319"/>
      <x:c r="R185" s="547" t="str">
        <x:f>IF($A185="","",IF(AND($E185="Completed",OR($D185="Full Run",$D185="No-Reset Run",$D185="PB Attempt"),ISNUMBER($F185)),"Yes","No"))</x:f>
      </x:c>
      <x:c r="S185" s="548" t="str">
        <x:f>IF($R185&lt;&gt;"Yes","",IF(COUNTIFS($B$5:$B185,$B185,$R$5:$R185,"Yes",$F$5:$F185,"&lt;"&amp;$F185)=0,IF(COUNTIFS($B$5:$B185,$B185,$R$5:$R185,"Yes",$F$5:$F185,$F185)=1,"NEW PB","TIED PB"),""))</x:f>
      </x:c>
    </x:row>
    <x:row r="186" ht="36" customHeight="1">
      <x:c r="A186" s="408"/>
      <x:c r="B186" s="318"/>
      <x:c r="C186" s="318"/>
      <x:c r="D186" s="318"/>
      <x:c r="E186" s="318"/>
      <x:c r="F186" s="409"/>
      <x:c r="G186" s="410"/>
      <x:c r="H186" s="410"/>
      <x:c r="I186" s="410"/>
      <x:c r="J186" s="318"/>
      <x:c r="K186" s="318"/>
      <x:c r="L186" s="318"/>
      <x:c r="M186" s="318"/>
      <x:c r="N186" s="410"/>
      <x:c r="O186" s="410"/>
      <x:c r="P186" s="318"/>
      <x:c r="Q186" s="319"/>
      <x:c r="R186" s="547" t="str">
        <x:f>IF($A186="","",IF(AND($E186="Completed",OR($D186="Full Run",$D186="No-Reset Run",$D186="PB Attempt"),ISNUMBER($F186)),"Yes","No"))</x:f>
      </x:c>
      <x:c r="S186" s="548" t="str">
        <x:f>IF($R186&lt;&gt;"Yes","",IF(COUNTIFS($B$5:$B186,$B186,$R$5:$R186,"Yes",$F$5:$F186,"&lt;"&amp;$F186)=0,IF(COUNTIFS($B$5:$B186,$B186,$R$5:$R186,"Yes",$F$5:$F186,$F186)=1,"NEW PB","TIED PB"),""))</x:f>
      </x:c>
    </x:row>
    <x:row r="187" ht="36" customHeight="1">
      <x:c r="A187" s="408"/>
      <x:c r="B187" s="318"/>
      <x:c r="C187" s="318"/>
      <x:c r="D187" s="318"/>
      <x:c r="E187" s="318"/>
      <x:c r="F187" s="409"/>
      <x:c r="G187" s="410"/>
      <x:c r="H187" s="410"/>
      <x:c r="I187" s="410"/>
      <x:c r="J187" s="318"/>
      <x:c r="K187" s="318"/>
      <x:c r="L187" s="318"/>
      <x:c r="M187" s="318"/>
      <x:c r="N187" s="410"/>
      <x:c r="O187" s="410"/>
      <x:c r="P187" s="318"/>
      <x:c r="Q187" s="319"/>
      <x:c r="R187" s="547" t="str">
        <x:f>IF($A187="","",IF(AND($E187="Completed",OR($D187="Full Run",$D187="No-Reset Run",$D187="PB Attempt"),ISNUMBER($F187)),"Yes","No"))</x:f>
      </x:c>
      <x:c r="S187" s="548" t="str">
        <x:f>IF($R187&lt;&gt;"Yes","",IF(COUNTIFS($B$5:$B187,$B187,$R$5:$R187,"Yes",$F$5:$F187,"&lt;"&amp;$F187)=0,IF(COUNTIFS($B$5:$B187,$B187,$R$5:$R187,"Yes",$F$5:$F187,$F187)=1,"NEW PB","TIED PB"),""))</x:f>
      </x:c>
    </x:row>
    <x:row r="188" ht="36" customHeight="1">
      <x:c r="A188" s="408"/>
      <x:c r="B188" s="318"/>
      <x:c r="C188" s="318"/>
      <x:c r="D188" s="318"/>
      <x:c r="E188" s="318"/>
      <x:c r="F188" s="409"/>
      <x:c r="G188" s="410"/>
      <x:c r="H188" s="410"/>
      <x:c r="I188" s="410"/>
      <x:c r="J188" s="318"/>
      <x:c r="K188" s="318"/>
      <x:c r="L188" s="318"/>
      <x:c r="M188" s="318"/>
      <x:c r="N188" s="410"/>
      <x:c r="O188" s="410"/>
      <x:c r="P188" s="318"/>
      <x:c r="Q188" s="319"/>
      <x:c r="R188" s="547" t="str">
        <x:f>IF($A188="","",IF(AND($E188="Completed",OR($D188="Full Run",$D188="No-Reset Run",$D188="PB Attempt"),ISNUMBER($F188)),"Yes","No"))</x:f>
      </x:c>
      <x:c r="S188" s="548" t="str">
        <x:f>IF($R188&lt;&gt;"Yes","",IF(COUNTIFS($B$5:$B188,$B188,$R$5:$R188,"Yes",$F$5:$F188,"&lt;"&amp;$F188)=0,IF(COUNTIFS($B$5:$B188,$B188,$R$5:$R188,"Yes",$F$5:$F188,$F188)=1,"NEW PB","TIED PB"),""))</x:f>
      </x:c>
    </x:row>
    <x:row r="189" ht="36" customHeight="1">
      <x:c r="A189" s="408"/>
      <x:c r="B189" s="318"/>
      <x:c r="C189" s="318"/>
      <x:c r="D189" s="318"/>
      <x:c r="E189" s="318"/>
      <x:c r="F189" s="409"/>
      <x:c r="G189" s="410"/>
      <x:c r="H189" s="410"/>
      <x:c r="I189" s="410"/>
      <x:c r="J189" s="318"/>
      <x:c r="K189" s="318"/>
      <x:c r="L189" s="318"/>
      <x:c r="M189" s="318"/>
      <x:c r="N189" s="410"/>
      <x:c r="O189" s="410"/>
      <x:c r="P189" s="318"/>
      <x:c r="Q189" s="319"/>
      <x:c r="R189" s="547" t="str">
        <x:f>IF($A189="","",IF(AND($E189="Completed",OR($D189="Full Run",$D189="No-Reset Run",$D189="PB Attempt"),ISNUMBER($F189)),"Yes","No"))</x:f>
      </x:c>
      <x:c r="S189" s="548" t="str">
        <x:f>IF($R189&lt;&gt;"Yes","",IF(COUNTIFS($B$5:$B189,$B189,$R$5:$R189,"Yes",$F$5:$F189,"&lt;"&amp;$F189)=0,IF(COUNTIFS($B$5:$B189,$B189,$R$5:$R189,"Yes",$F$5:$F189,$F189)=1,"NEW PB","TIED PB"),""))</x:f>
      </x:c>
    </x:row>
    <x:row r="190" ht="36" customHeight="1">
      <x:c r="A190" s="408"/>
      <x:c r="B190" s="318"/>
      <x:c r="C190" s="318"/>
      <x:c r="D190" s="318"/>
      <x:c r="E190" s="318"/>
      <x:c r="F190" s="409"/>
      <x:c r="G190" s="410"/>
      <x:c r="H190" s="410"/>
      <x:c r="I190" s="410"/>
      <x:c r="J190" s="318"/>
      <x:c r="K190" s="318"/>
      <x:c r="L190" s="318"/>
      <x:c r="M190" s="318"/>
      <x:c r="N190" s="410"/>
      <x:c r="O190" s="410"/>
      <x:c r="P190" s="318"/>
      <x:c r="Q190" s="319"/>
      <x:c r="R190" s="547" t="str">
        <x:f>IF($A190="","",IF(AND($E190="Completed",OR($D190="Full Run",$D190="No-Reset Run",$D190="PB Attempt"),ISNUMBER($F190)),"Yes","No"))</x:f>
      </x:c>
      <x:c r="S190" s="548" t="str">
        <x:f>IF($R190&lt;&gt;"Yes","",IF(COUNTIFS($B$5:$B190,$B190,$R$5:$R190,"Yes",$F$5:$F190,"&lt;"&amp;$F190)=0,IF(COUNTIFS($B$5:$B190,$B190,$R$5:$R190,"Yes",$F$5:$F190,$F190)=1,"NEW PB","TIED PB"),""))</x:f>
      </x:c>
    </x:row>
    <x:row r="191" ht="36" customHeight="1">
      <x:c r="A191" s="408"/>
      <x:c r="B191" s="318"/>
      <x:c r="C191" s="318"/>
      <x:c r="D191" s="318"/>
      <x:c r="E191" s="318"/>
      <x:c r="F191" s="409"/>
      <x:c r="G191" s="410"/>
      <x:c r="H191" s="410"/>
      <x:c r="I191" s="410"/>
      <x:c r="J191" s="318"/>
      <x:c r="K191" s="318"/>
      <x:c r="L191" s="318"/>
      <x:c r="M191" s="318"/>
      <x:c r="N191" s="410"/>
      <x:c r="O191" s="410"/>
      <x:c r="P191" s="318"/>
      <x:c r="Q191" s="319"/>
      <x:c r="R191" s="547" t="str">
        <x:f>IF($A191="","",IF(AND($E191="Completed",OR($D191="Full Run",$D191="No-Reset Run",$D191="PB Attempt"),ISNUMBER($F191)),"Yes","No"))</x:f>
      </x:c>
      <x:c r="S191" s="548" t="str">
        <x:f>IF($R191&lt;&gt;"Yes","",IF(COUNTIFS($B$5:$B191,$B191,$R$5:$R191,"Yes",$F$5:$F191,"&lt;"&amp;$F191)=0,IF(COUNTIFS($B$5:$B191,$B191,$R$5:$R191,"Yes",$F$5:$F191,$F191)=1,"NEW PB","TIED PB"),""))</x:f>
      </x:c>
    </x:row>
    <x:row r="192" ht="36" customHeight="1">
      <x:c r="A192" s="408"/>
      <x:c r="B192" s="318"/>
      <x:c r="C192" s="318"/>
      <x:c r="D192" s="318"/>
      <x:c r="E192" s="318"/>
      <x:c r="F192" s="409"/>
      <x:c r="G192" s="410"/>
      <x:c r="H192" s="410"/>
      <x:c r="I192" s="410"/>
      <x:c r="J192" s="318"/>
      <x:c r="K192" s="318"/>
      <x:c r="L192" s="318"/>
      <x:c r="M192" s="318"/>
      <x:c r="N192" s="410"/>
      <x:c r="O192" s="410"/>
      <x:c r="P192" s="318"/>
      <x:c r="Q192" s="319"/>
      <x:c r="R192" s="547" t="str">
        <x:f>IF($A192="","",IF(AND($E192="Completed",OR($D192="Full Run",$D192="No-Reset Run",$D192="PB Attempt"),ISNUMBER($F192)),"Yes","No"))</x:f>
      </x:c>
      <x:c r="S192" s="548" t="str">
        <x:f>IF($R192&lt;&gt;"Yes","",IF(COUNTIFS($B$5:$B192,$B192,$R$5:$R192,"Yes",$F$5:$F192,"&lt;"&amp;$F192)=0,IF(COUNTIFS($B$5:$B192,$B192,$R$5:$R192,"Yes",$F$5:$F192,$F192)=1,"NEW PB","TIED PB"),""))</x:f>
      </x:c>
    </x:row>
    <x:row r="193" ht="36" customHeight="1">
      <x:c r="A193" s="408"/>
      <x:c r="B193" s="318"/>
      <x:c r="C193" s="318"/>
      <x:c r="D193" s="318"/>
      <x:c r="E193" s="318"/>
      <x:c r="F193" s="409"/>
      <x:c r="G193" s="410"/>
      <x:c r="H193" s="410"/>
      <x:c r="I193" s="410"/>
      <x:c r="J193" s="318"/>
      <x:c r="K193" s="318"/>
      <x:c r="L193" s="318"/>
      <x:c r="M193" s="318"/>
      <x:c r="N193" s="410"/>
      <x:c r="O193" s="410"/>
      <x:c r="P193" s="318"/>
      <x:c r="Q193" s="319"/>
      <x:c r="R193" s="547" t="str">
        <x:f>IF($A193="","",IF(AND($E193="Completed",OR($D193="Full Run",$D193="No-Reset Run",$D193="PB Attempt"),ISNUMBER($F193)),"Yes","No"))</x:f>
      </x:c>
      <x:c r="S193" s="548" t="str">
        <x:f>IF($R193&lt;&gt;"Yes","",IF(COUNTIFS($B$5:$B193,$B193,$R$5:$R193,"Yes",$F$5:$F193,"&lt;"&amp;$F193)=0,IF(COUNTIFS($B$5:$B193,$B193,$R$5:$R193,"Yes",$F$5:$F193,$F193)=1,"NEW PB","TIED PB"),""))</x:f>
      </x:c>
    </x:row>
    <x:row r="194" ht="36" customHeight="1">
      <x:c r="A194" s="408"/>
      <x:c r="B194" s="318"/>
      <x:c r="C194" s="318"/>
      <x:c r="D194" s="318"/>
      <x:c r="E194" s="318"/>
      <x:c r="F194" s="409"/>
      <x:c r="G194" s="410"/>
      <x:c r="H194" s="410"/>
      <x:c r="I194" s="410"/>
      <x:c r="J194" s="318"/>
      <x:c r="K194" s="318"/>
      <x:c r="L194" s="318"/>
      <x:c r="M194" s="318"/>
      <x:c r="N194" s="410"/>
      <x:c r="O194" s="410"/>
      <x:c r="P194" s="318"/>
      <x:c r="Q194" s="319"/>
      <x:c r="R194" s="547" t="str">
        <x:f>IF($A194="","",IF(AND($E194="Completed",OR($D194="Full Run",$D194="No-Reset Run",$D194="PB Attempt"),ISNUMBER($F194)),"Yes","No"))</x:f>
      </x:c>
      <x:c r="S194" s="548" t="str">
        <x:f>IF($R194&lt;&gt;"Yes","",IF(COUNTIFS($B$5:$B194,$B194,$R$5:$R194,"Yes",$F$5:$F194,"&lt;"&amp;$F194)=0,IF(COUNTIFS($B$5:$B194,$B194,$R$5:$R194,"Yes",$F$5:$F194,$F194)=1,"NEW PB","TIED PB"),""))</x:f>
      </x:c>
    </x:row>
    <x:row r="195" ht="36" customHeight="1">
      <x:c r="A195" s="408"/>
      <x:c r="B195" s="318"/>
      <x:c r="C195" s="318"/>
      <x:c r="D195" s="318"/>
      <x:c r="E195" s="318"/>
      <x:c r="F195" s="409"/>
      <x:c r="G195" s="410"/>
      <x:c r="H195" s="410"/>
      <x:c r="I195" s="410"/>
      <x:c r="J195" s="318"/>
      <x:c r="K195" s="318"/>
      <x:c r="L195" s="318"/>
      <x:c r="M195" s="318"/>
      <x:c r="N195" s="410"/>
      <x:c r="O195" s="410"/>
      <x:c r="P195" s="318"/>
      <x:c r="Q195" s="319"/>
      <x:c r="R195" s="547" t="str">
        <x:f>IF($A195="","",IF(AND($E195="Completed",OR($D195="Full Run",$D195="No-Reset Run",$D195="PB Attempt"),ISNUMBER($F195)),"Yes","No"))</x:f>
      </x:c>
      <x:c r="S195" s="548" t="str">
        <x:f>IF($R195&lt;&gt;"Yes","",IF(COUNTIFS($B$5:$B195,$B195,$R$5:$R195,"Yes",$F$5:$F195,"&lt;"&amp;$F195)=0,IF(COUNTIFS($B$5:$B195,$B195,$R$5:$R195,"Yes",$F$5:$F195,$F195)=1,"NEW PB","TIED PB"),""))</x:f>
      </x:c>
    </x:row>
    <x:row r="196" ht="36" customHeight="1">
      <x:c r="A196" s="408"/>
      <x:c r="B196" s="318"/>
      <x:c r="C196" s="318"/>
      <x:c r="D196" s="318"/>
      <x:c r="E196" s="318"/>
      <x:c r="F196" s="409"/>
      <x:c r="G196" s="410"/>
      <x:c r="H196" s="410"/>
      <x:c r="I196" s="410"/>
      <x:c r="J196" s="318"/>
      <x:c r="K196" s="318"/>
      <x:c r="L196" s="318"/>
      <x:c r="M196" s="318"/>
      <x:c r="N196" s="410"/>
      <x:c r="O196" s="410"/>
      <x:c r="P196" s="318"/>
      <x:c r="Q196" s="319"/>
      <x:c r="R196" s="547" t="str">
        <x:f>IF($A196="","",IF(AND($E196="Completed",OR($D196="Full Run",$D196="No-Reset Run",$D196="PB Attempt"),ISNUMBER($F196)),"Yes","No"))</x:f>
      </x:c>
      <x:c r="S196" s="548" t="str">
        <x:f>IF($R196&lt;&gt;"Yes","",IF(COUNTIFS($B$5:$B196,$B196,$R$5:$R196,"Yes",$F$5:$F196,"&lt;"&amp;$F196)=0,IF(COUNTIFS($B$5:$B196,$B196,$R$5:$R196,"Yes",$F$5:$F196,$F196)=1,"NEW PB","TIED PB"),""))</x:f>
      </x:c>
    </x:row>
    <x:row r="197" ht="36" customHeight="1">
      <x:c r="A197" s="408"/>
      <x:c r="B197" s="318"/>
      <x:c r="C197" s="318"/>
      <x:c r="D197" s="318"/>
      <x:c r="E197" s="318"/>
      <x:c r="F197" s="409"/>
      <x:c r="G197" s="410"/>
      <x:c r="H197" s="410"/>
      <x:c r="I197" s="410"/>
      <x:c r="J197" s="318"/>
      <x:c r="K197" s="318"/>
      <x:c r="L197" s="318"/>
      <x:c r="M197" s="318"/>
      <x:c r="N197" s="410"/>
      <x:c r="O197" s="410"/>
      <x:c r="P197" s="318"/>
      <x:c r="Q197" s="319"/>
      <x:c r="R197" s="547" t="str">
        <x:f>IF($A197="","",IF(AND($E197="Completed",OR($D197="Full Run",$D197="No-Reset Run",$D197="PB Attempt"),ISNUMBER($F197)),"Yes","No"))</x:f>
      </x:c>
      <x:c r="S197" s="548" t="str">
        <x:f>IF($R197&lt;&gt;"Yes","",IF(COUNTIFS($B$5:$B197,$B197,$R$5:$R197,"Yes",$F$5:$F197,"&lt;"&amp;$F197)=0,IF(COUNTIFS($B$5:$B197,$B197,$R$5:$R197,"Yes",$F$5:$F197,$F197)=1,"NEW PB","TIED PB"),""))</x:f>
      </x:c>
    </x:row>
    <x:row r="198" ht="36" customHeight="1">
      <x:c r="A198" s="408"/>
      <x:c r="B198" s="318"/>
      <x:c r="C198" s="318"/>
      <x:c r="D198" s="318"/>
      <x:c r="E198" s="318"/>
      <x:c r="F198" s="409"/>
      <x:c r="G198" s="410"/>
      <x:c r="H198" s="410"/>
      <x:c r="I198" s="410"/>
      <x:c r="J198" s="318"/>
      <x:c r="K198" s="318"/>
      <x:c r="L198" s="318"/>
      <x:c r="M198" s="318"/>
      <x:c r="N198" s="410"/>
      <x:c r="O198" s="410"/>
      <x:c r="P198" s="318"/>
      <x:c r="Q198" s="319"/>
      <x:c r="R198" s="547" t="str">
        <x:f>IF($A198="","",IF(AND($E198="Completed",OR($D198="Full Run",$D198="No-Reset Run",$D198="PB Attempt"),ISNUMBER($F198)),"Yes","No"))</x:f>
      </x:c>
      <x:c r="S198" s="548" t="str">
        <x:f>IF($R198&lt;&gt;"Yes","",IF(COUNTIFS($B$5:$B198,$B198,$R$5:$R198,"Yes",$F$5:$F198,"&lt;"&amp;$F198)=0,IF(COUNTIFS($B$5:$B198,$B198,$R$5:$R198,"Yes",$F$5:$F198,$F198)=1,"NEW PB","TIED PB"),""))</x:f>
      </x:c>
    </x:row>
    <x:row r="199" ht="36" customHeight="1">
      <x:c r="A199" s="408"/>
      <x:c r="B199" s="318"/>
      <x:c r="C199" s="318"/>
      <x:c r="D199" s="318"/>
      <x:c r="E199" s="318"/>
      <x:c r="F199" s="409"/>
      <x:c r="G199" s="410"/>
      <x:c r="H199" s="410"/>
      <x:c r="I199" s="410"/>
      <x:c r="J199" s="318"/>
      <x:c r="K199" s="318"/>
      <x:c r="L199" s="318"/>
      <x:c r="M199" s="318"/>
      <x:c r="N199" s="410"/>
      <x:c r="O199" s="410"/>
      <x:c r="P199" s="318"/>
      <x:c r="Q199" s="319"/>
      <x:c r="R199" s="547" t="str">
        <x:f>IF($A199="","",IF(AND($E199="Completed",OR($D199="Full Run",$D199="No-Reset Run",$D199="PB Attempt"),ISNUMBER($F199)),"Yes","No"))</x:f>
      </x:c>
      <x:c r="S199" s="548" t="str">
        <x:f>IF($R199&lt;&gt;"Yes","",IF(COUNTIFS($B$5:$B199,$B199,$R$5:$R199,"Yes",$F$5:$F199,"&lt;"&amp;$F199)=0,IF(COUNTIFS($B$5:$B199,$B199,$R$5:$R199,"Yes",$F$5:$F199,$F199)=1,"NEW PB","TIED PB"),""))</x:f>
      </x:c>
    </x:row>
    <x:row r="200" ht="36" customHeight="1">
      <x:c r="A200" s="408"/>
      <x:c r="B200" s="318"/>
      <x:c r="C200" s="318"/>
      <x:c r="D200" s="318"/>
      <x:c r="E200" s="318"/>
      <x:c r="F200" s="409"/>
      <x:c r="G200" s="410"/>
      <x:c r="H200" s="410"/>
      <x:c r="I200" s="410"/>
      <x:c r="J200" s="318"/>
      <x:c r="K200" s="318"/>
      <x:c r="L200" s="318"/>
      <x:c r="M200" s="318"/>
      <x:c r="N200" s="410"/>
      <x:c r="O200" s="410"/>
      <x:c r="P200" s="318"/>
      <x:c r="Q200" s="319"/>
      <x:c r="R200" s="547" t="str">
        <x:f>IF($A200="","",IF(AND($E200="Completed",OR($D200="Full Run",$D200="No-Reset Run",$D200="PB Attempt"),ISNUMBER($F200)),"Yes","No"))</x:f>
      </x:c>
      <x:c r="S200" s="548" t="str">
        <x:f>IF($R200&lt;&gt;"Yes","",IF(COUNTIFS($B$5:$B200,$B200,$R$5:$R200,"Yes",$F$5:$F200,"&lt;"&amp;$F200)=0,IF(COUNTIFS($B$5:$B200,$B200,$R$5:$R200,"Yes",$F$5:$F200,$F200)=1,"NEW PB","TIED PB"),""))</x:f>
      </x:c>
    </x:row>
    <x:row r="201" ht="36" customHeight="1">
      <x:c r="A201" s="408"/>
      <x:c r="B201" s="318"/>
      <x:c r="C201" s="318"/>
      <x:c r="D201" s="318"/>
      <x:c r="E201" s="318"/>
      <x:c r="F201" s="409"/>
      <x:c r="G201" s="410"/>
      <x:c r="H201" s="410"/>
      <x:c r="I201" s="410"/>
      <x:c r="J201" s="318"/>
      <x:c r="K201" s="318"/>
      <x:c r="L201" s="318"/>
      <x:c r="M201" s="318"/>
      <x:c r="N201" s="410"/>
      <x:c r="O201" s="410"/>
      <x:c r="P201" s="318"/>
      <x:c r="Q201" s="319"/>
      <x:c r="R201" s="547" t="str">
        <x:f>IF($A201="","",IF(AND($E201="Completed",OR($D201="Full Run",$D201="No-Reset Run",$D201="PB Attempt"),ISNUMBER($F201)),"Yes","No"))</x:f>
      </x:c>
      <x:c r="S201" s="548" t="str">
        <x:f>IF($R201&lt;&gt;"Yes","",IF(COUNTIFS($B$5:$B201,$B201,$R$5:$R201,"Yes",$F$5:$F201,"&lt;"&amp;$F201)=0,IF(COUNTIFS($B$5:$B201,$B201,$R$5:$R201,"Yes",$F$5:$F201,$F201)=1,"NEW PB","TIED PB"),""))</x:f>
      </x:c>
    </x:row>
    <x:row r="202" ht="36" customHeight="1">
      <x:c r="A202" s="408"/>
      <x:c r="B202" s="318"/>
      <x:c r="C202" s="318"/>
      <x:c r="D202" s="318"/>
      <x:c r="E202" s="318"/>
      <x:c r="F202" s="409"/>
      <x:c r="G202" s="410"/>
      <x:c r="H202" s="410"/>
      <x:c r="I202" s="410"/>
      <x:c r="J202" s="318"/>
      <x:c r="K202" s="318"/>
      <x:c r="L202" s="318"/>
      <x:c r="M202" s="318"/>
      <x:c r="N202" s="410"/>
      <x:c r="O202" s="410"/>
      <x:c r="P202" s="318"/>
      <x:c r="Q202" s="319"/>
      <x:c r="R202" s="547" t="str">
        <x:f>IF($A202="","",IF(AND($E202="Completed",OR($D202="Full Run",$D202="No-Reset Run",$D202="PB Attempt"),ISNUMBER($F202)),"Yes","No"))</x:f>
      </x:c>
      <x:c r="S202" s="548" t="str">
        <x:f>IF($R202&lt;&gt;"Yes","",IF(COUNTIFS($B$5:$B202,$B202,$R$5:$R202,"Yes",$F$5:$F202,"&lt;"&amp;$F202)=0,IF(COUNTIFS($B$5:$B202,$B202,$R$5:$R202,"Yes",$F$5:$F202,$F202)=1,"NEW PB","TIED PB"),""))</x:f>
      </x:c>
    </x:row>
    <x:row r="203" ht="36" customHeight="1">
      <x:c r="A203" s="408"/>
      <x:c r="B203" s="318"/>
      <x:c r="C203" s="318"/>
      <x:c r="D203" s="318"/>
      <x:c r="E203" s="318"/>
      <x:c r="F203" s="409"/>
      <x:c r="G203" s="410"/>
      <x:c r="H203" s="410"/>
      <x:c r="I203" s="410"/>
      <x:c r="J203" s="318"/>
      <x:c r="K203" s="318"/>
      <x:c r="L203" s="318"/>
      <x:c r="M203" s="318"/>
      <x:c r="N203" s="410"/>
      <x:c r="O203" s="410"/>
      <x:c r="P203" s="318"/>
      <x:c r="Q203" s="319"/>
      <x:c r="R203" s="547" t="str">
        <x:f>IF($A203="","",IF(AND($E203="Completed",OR($D203="Full Run",$D203="No-Reset Run",$D203="PB Attempt"),ISNUMBER($F203)),"Yes","No"))</x:f>
      </x:c>
      <x:c r="S203" s="548" t="str">
        <x:f>IF($R203&lt;&gt;"Yes","",IF(COUNTIFS($B$5:$B203,$B203,$R$5:$R203,"Yes",$F$5:$F203,"&lt;"&amp;$F203)=0,IF(COUNTIFS($B$5:$B203,$B203,$R$5:$R203,"Yes",$F$5:$F203,$F203)=1,"NEW PB","TIED PB"),""))</x:f>
      </x:c>
    </x:row>
    <x:row r="204" ht="36" customHeight="1">
      <x:c r="A204" s="411"/>
      <x:c r="B204" s="325"/>
      <x:c r="C204" s="325"/>
      <x:c r="D204" s="325"/>
      <x:c r="E204" s="325"/>
      <x:c r="F204" s="412"/>
      <x:c r="G204" s="413"/>
      <x:c r="H204" s="413"/>
      <x:c r="I204" s="413"/>
      <x:c r="J204" s="325"/>
      <x:c r="K204" s="325"/>
      <x:c r="L204" s="325"/>
      <x:c r="M204" s="325"/>
      <x:c r="N204" s="413"/>
      <x:c r="O204" s="413"/>
      <x:c r="P204" s="325"/>
      <x:c r="Q204" s="326"/>
      <x:c r="R204" s="549" t="str">
        <x:f>IF($A204="","",IF(AND($E204="Completed",OR($D204="Full Run",$D204="No-Reset Run",$D204="PB Attempt"),ISNUMBER($F204)),"Yes","No"))</x:f>
      </x:c>
      <x:c r="S204" s="550" t="str">
        <x:f>IF($R204&lt;&gt;"Yes","",IF(COUNTIFS($B$5:$B204,$B204,$R$5:$R204,"Yes",$F$5:$F204,"&lt;"&amp;$F204)=0,IF(COUNTIFS($B$5:$B204,$B204,$R$5:$R204,"Yes",$F$5:$F204,$F204)=1,"NEW PB","TIED PB"),""))</x:f>
      </x:c>
    </x:row>
  </x:sheetData>
  <x:mergeCells>
    <x:mergeCell ref="A1:S2"/>
    <x:mergeCell ref="A3:S3"/>
  </x:mergeCells>
  <x:conditionalFormatting sqref="E5:E204">
    <x:cfRule type="expression" dxfId="7" priority="1">
      <x:formula>E5="Completed"</x:formula>
    </x:cfRule>
    <x:cfRule type="expression" dxfId="8" priority="2">
      <x:formula>E5="Reset"</x:formula>
    </x:cfRule>
  </x:conditionalFormatting>
  <x:conditionalFormatting sqref="O5:O204">
    <x:cfRule type="colorScale" priority="3">
      <x:colorScale>
        <x:cfvo type="min"/>
        <x:cfvo type="percentile" val="50"/>
        <x:cfvo type="max"/>
        <x:color rgb="FFFFCDD2"/>
        <x:color rgb="FFFFF9C4"/>
        <x:color rgb="FFC8E6C9"/>
      </x:colorScale>
    </x:cfRule>
  </x:conditionalFormatting>
  <x:conditionalFormatting sqref="R5:R204">
    <x:cfRule type="expression" dxfId="12" priority="4">
      <x:formula>R5="Yes"</x:formula>
    </x:cfRule>
    <x:cfRule type="expression" dxfId="13" priority="5">
      <x:formula>R5="No"</x:formula>
    </x:cfRule>
  </x:conditionalFormatting>
  <x:conditionalFormatting sqref="S5:S204">
    <x:cfRule type="expression" dxfId="14" priority="6">
      <x:formula>S5="NEW PB"</x:formula>
    </x:cfRule>
    <x:cfRule type="expression" dxfId="15" priority="7">
      <x:formula>S5="TIED PB"</x:formula>
    </x:cfRule>
  </x:conditionalFormatting>
  <x:dataValidations count="5">
    <x:dataValidation type="list" sqref="B5:B204">
      <x:formula1>"Vanilla,Randomizer"</x:formula1>
    </x:dataValidation>
    <x:dataValidation type="list" sqref="D5:D204">
      <x:formula1>"Full Run,Segment Practice,Level Practice,No-Reset Run,PB Attempt,Casual/Exploration"</x:formula1>
    </x:dataValidation>
    <x:dataValidation type="list" sqref="E5:E204">
      <x:formula1>"Completed,Game Over,Reset,Practice Only,Stopped Early"</x:formula1>
    </x:dataValidation>
    <x:dataValidation type="list" sqref="M5:M204">
      <x:formula1>"Movement,P-Speed,Jump Control,Combat,Bosses,Level Knowledge,World 8,Routing,Power-Up Management,Recovery,Randomizer Decisions,Consistency"</x:formula1>
    </x:dataValidation>
    <x:dataValidation type="list" sqref="O5:O20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78e2a0a8eb4d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9" hidden="0" customWidth="1"/>
    <x:col min="3" max="3" width="35" hidden="0" customWidth="1"/>
    <x:col min="4" max="4" width="35" hidden="0" customWidth="1"/>
    <x:col min="5" max="5" width="14" hidden="0" customWidth="1"/>
    <x:col min="6" max="6" width="14" hidden="0" customWidth="1"/>
    <x:col min="7" max="7" width="31" hidden="0" customWidth="1"/>
    <x:col min="8" max="8" width="15" hidden="0" customWidth="1"/>
    <x:col min="9" max="9" width="14" hidden="0" customWidth="1"/>
    <x:col min="10" max="10" width="30" hidden="0" customWidth="1"/>
  </x:cols>
  <x:sheetData>
    <x:row r="1" ht="34" customHeight="1">
      <x:c r="A1" s="389" t="str">
        <x:v>SKILL TRACKER</x:v>
      </x:c>
      <x:c r="B1" s="389"/>
      <x:c r="C1" s="389"/>
      <x:c r="D1" s="389"/>
      <x:c r="E1" s="389"/>
      <x:c r="F1" s="389"/>
      <x:c r="G1" s="389"/>
      <x:c r="H1" s="389"/>
      <x:c r="I1" s="389"/>
      <x:c r="J1" s="389"/>
      <x:c r="K1" s="306"/>
      <x:c r="L1" s="306"/>
      <x:c r="M1" s="306"/>
      <x:c r="N1" s="306"/>
      <x:c r="O1" s="306"/>
      <x:c r="P1" s="306"/>
      <x:c r="Q1" s="306"/>
    </x:row>
    <x:row r="2" ht="34" customHeight="1">
      <x:c r="A2" s="389"/>
      <x:c r="B2" s="389"/>
      <x:c r="C2" s="389"/>
      <x:c r="D2" s="389"/>
      <x:c r="E2" s="389"/>
      <x:c r="F2" s="389"/>
      <x:c r="G2" s="389"/>
      <x:c r="H2" s="389"/>
      <x:c r="I2" s="389"/>
      <x:c r="J2" s="389"/>
      <x:c r="K2" s="306"/>
      <x:c r="L2" s="306"/>
      <x:c r="M2" s="306"/>
      <x:c r="N2" s="306"/>
      <x:c r="O2" s="306"/>
      <x:c r="P2" s="306"/>
      <x:c r="Q2" s="306"/>
    </x:row>
    <x:row r="3">
      <x:c r="A3" s="390" t="str">
        <x:v>Rate skills from 1 to 5. Increase a rating only when your run log or drills provide evidence.</x:v>
      </x:c>
      <x:c r="B3" s="390"/>
      <x:c r="C3" s="390"/>
      <x:c r="D3" s="390"/>
      <x:c r="E3" s="390"/>
      <x:c r="F3" s="390"/>
      <x:c r="G3" s="390"/>
      <x:c r="H3" s="390"/>
      <x:c r="I3" s="390"/>
      <x:c r="J3" s="390"/>
      <x:c r="K3" s="306"/>
      <x:c r="L3" s="306"/>
      <x:c r="M3" s="306"/>
      <x:c r="N3" s="306"/>
      <x:c r="O3" s="306"/>
      <x:c r="P3" s="306"/>
      <x:c r="Q3" s="306"/>
    </x:row>
    <x:row r="4">
      <x:c r="A4" s="332" t="str">
        <x:v>Category</x:v>
      </x:c>
      <x:c r="B4" s="333" t="str">
        <x:v>Skill</x:v>
      </x:c>
      <x:c r="C4" s="333" t="str">
        <x:v>Why It Matters</x:v>
      </x:c>
      <x:c r="D4" s="333" t="str">
        <x:v>Practice Drill</x:v>
      </x:c>
      <x:c r="E4" s="333" t="str">
        <x:v>Current (1–5)</x:v>
      </x:c>
      <x:c r="F4" s="333" t="str">
        <x:v>Target (1–5)</x:v>
      </x:c>
      <x:c r="G4" s="333" t="str">
        <x:v>Evidence / Best Result</x:v>
      </x:c>
      <x:c r="H4" s="333" t="str">
        <x:v>Last Practiced</x:v>
      </x:c>
      <x:c r="I4" s="333" t="str">
        <x:v>Status</x:v>
      </x:c>
      <x:c r="J4" s="334" t="str">
        <x:v>Notes</x:v>
      </x:c>
      <x:c r="K4" s="306"/>
      <x:c r="L4" s="306"/>
      <x:c r="M4" s="306"/>
      <x:c r="N4" s="306"/>
      <x:c r="O4" s="306"/>
      <x:c r="P4" s="306"/>
      <x:c r="Q4" s="306"/>
    </x:row>
    <x:row r="5" ht="55" customHeight="1">
      <x:c r="A5" s="311" t="str">
        <x:v>Movement</x:v>
      </x:c>
      <x:c r="B5" s="312" t="str">
        <x:v>Running and controlled stopping</x:v>
      </x:c>
      <x:c r="C5" s="312" t="str">
        <x:v>Prevents overshooting and makes speed usable.</x:v>
      </x:c>
      <x:c r="D5" s="312" t="str">
        <x:v>Run to a chosen tile and stop cleanly 10 times.</x:v>
      </x:c>
      <x:c r="E5" s="399" t="n">
        <x:v>1</x:v>
      </x:c>
      <x:c r="F5" s="399" t="n">
        <x:v>4</x:v>
      </x:c>
      <x:c r="G5" s="312" t="str"/>
      <x:c r="H5" s="423"/>
      <x:c r="I5" s="312" t="str">
        <x:v>Not Started</x:v>
      </x:c>
      <x:c r="J5" s="313" t="str"/>
      <x:c r="K5" s="306"/>
      <x:c r="L5" s="306"/>
      <x:c r="M5" s="306"/>
      <x:c r="N5" s="306"/>
      <x:c r="O5" s="306"/>
      <x:c r="P5" s="306"/>
      <x:c r="Q5" s="306"/>
    </x:row>
    <x:row r="6" ht="55" customHeight="1">
      <x:c r="A6" s="317" t="str">
        <x:v>Movement</x:v>
      </x:c>
      <x:c r="B6" s="318" t="str">
        <x:v>Short, medium, and full jump selection</x:v>
      </x:c>
      <x:c r="C6" s="318" t="str">
        <x:v>Reduces panic jumps and missed platforms.</x:v>
      </x:c>
      <x:c r="D6" s="318" t="str">
        <x:v>Repeat one gap using all three jump lengths.</x:v>
      </x:c>
      <x:c r="E6" s="400" t="n">
        <x:v>1</x:v>
      </x:c>
      <x:c r="F6" s="400" t="n">
        <x:v>4</x:v>
      </x:c>
      <x:c r="G6" s="318" t="str"/>
      <x:c r="H6" s="424"/>
      <x:c r="I6" s="318" t="str">
        <x:v>Not Started</x:v>
      </x:c>
      <x:c r="J6" s="319" t="str"/>
      <x:c r="K6" s="306"/>
      <x:c r="L6" s="306"/>
      <x:c r="M6" s="306"/>
      <x:c r="N6" s="306"/>
      <x:c r="O6" s="306"/>
      <x:c r="P6" s="306"/>
      <x:c r="Q6" s="306"/>
    </x:row>
    <x:row r="7" ht="55" customHeight="1">
      <x:c r="A7" s="317" t="str">
        <x:v>Movement</x:v>
      </x:c>
      <x:c r="B7" s="318" t="str">
        <x:v>P-Speed buildup and maintenance</x:v>
      </x:c>
      <x:c r="C7" s="318" t="str">
        <x:v>Creates speed without losing control.</x:v>
      </x:c>
      <x:c r="D7" s="318" t="str">
        <x:v>Build P-Speed five times, then carry it through a section.</x:v>
      </x:c>
      <x:c r="E7" s="400" t="n">
        <x:v>1</x:v>
      </x:c>
      <x:c r="F7" s="400" t="n">
        <x:v>4</x:v>
      </x:c>
      <x:c r="G7" s="318" t="str"/>
      <x:c r="H7" s="424"/>
      <x:c r="I7" s="318" t="str">
        <x:v>Not Started</x:v>
      </x:c>
      <x:c r="J7" s="319" t="str"/>
      <x:c r="K7" s="306"/>
      <x:c r="L7" s="306"/>
      <x:c r="M7" s="306"/>
      <x:c r="N7" s="306"/>
      <x:c r="O7" s="306"/>
      <x:c r="P7" s="306"/>
      <x:c r="Q7" s="306"/>
    </x:row>
    <x:row r="8" ht="55" customHeight="1">
      <x:c r="A8" s="317" t="str">
        <x:v>Movement</x:v>
      </x:c>
      <x:c r="B8" s="318" t="str">
        <x:v>Edge landings and momentum control</x:v>
      </x:c>
      <x:c r="C8" s="318" t="str">
        <x:v>Makes tight sections and fast routes consistent.</x:v>
      </x:c>
      <x:c r="D8" s="318" t="str">
        <x:v>Land on a marked platform edge 10 times.</x:v>
      </x:c>
      <x:c r="E8" s="400" t="n">
        <x:v>1</x:v>
      </x:c>
      <x:c r="F8" s="400" t="n">
        <x:v>4</x:v>
      </x:c>
      <x:c r="G8" s="318" t="str"/>
      <x:c r="H8" s="424"/>
      <x:c r="I8" s="318" t="str">
        <x:v>Not Started</x:v>
      </x:c>
      <x:c r="J8" s="319" t="str"/>
      <x:c r="K8" s="306"/>
      <x:c r="L8" s="306"/>
      <x:c r="M8" s="306"/>
      <x:c r="N8" s="306"/>
      <x:c r="O8" s="306"/>
      <x:c r="P8" s="306"/>
      <x:c r="Q8" s="306"/>
    </x:row>
    <x:row r="9" ht="55" customHeight="1">
      <x:c r="A9" s="317" t="str">
        <x:v>Movement</x:v>
      </x:c>
      <x:c r="B9" s="318" t="str">
        <x:v>Swimming, ice, and special physics</x:v>
      </x:c>
      <x:c r="C9" s="318" t="str">
        <x:v>Unusual physics often cause avoidable deaths.</x:v>
      </x:c>
      <x:c r="D9" s="318" t="str">
        <x:v>Repeat one water and one ice section until predictable.</x:v>
      </x:c>
      <x:c r="E9" s="400" t="n">
        <x:v>1</x:v>
      </x:c>
      <x:c r="F9" s="400" t="n">
        <x:v>3</x:v>
      </x:c>
      <x:c r="G9" s="318" t="str"/>
      <x:c r="H9" s="424"/>
      <x:c r="I9" s="318" t="str">
        <x:v>Not Started</x:v>
      </x:c>
      <x:c r="J9" s="319" t="str"/>
      <x:c r="K9" s="306"/>
      <x:c r="L9" s="306"/>
      <x:c r="M9" s="306"/>
      <x:c r="N9" s="306"/>
      <x:c r="O9" s="306"/>
      <x:c r="P9" s="306"/>
      <x:c r="Q9" s="306"/>
    </x:row>
    <x:row r="10" ht="55" customHeight="1">
      <x:c r="A10" s="317" t="str">
        <x:v>Power-Ups</x:v>
      </x:c>
      <x:c r="B10" s="318" t="str">
        <x:v>Raccoon flight and tail control</x:v>
      </x:c>
      <x:c r="C10" s="318" t="str">
        <x:v>Improves survival, exploration, and route options.</x:v>
      </x:c>
      <x:c r="D10" s="318" t="str">
        <x:v>Practice takeoff, landing, and tail timing.</x:v>
      </x:c>
      <x:c r="E10" s="400" t="n">
        <x:v>1</x:v>
      </x:c>
      <x:c r="F10" s="400" t="n">
        <x:v>4</x:v>
      </x:c>
      <x:c r="G10" s="318" t="str"/>
      <x:c r="H10" s="424"/>
      <x:c r="I10" s="318" t="str">
        <x:v>Not Started</x:v>
      </x:c>
      <x:c r="J10" s="319" t="str"/>
      <x:c r="K10" s="306"/>
      <x:c r="L10" s="306"/>
      <x:c r="M10" s="306"/>
      <x:c r="N10" s="306"/>
      <x:c r="O10" s="306"/>
      <x:c r="P10" s="306"/>
      <x:c r="Q10" s="306"/>
    </x:row>
    <x:row r="11" ht="55" customHeight="1">
      <x:c r="A11" s="317" t="str">
        <x:v>Combat</x:v>
      </x:c>
      <x:c r="B11" s="318" t="str">
        <x:v>Common enemy control</x:v>
      </x:c>
      <x:c r="C11" s="318" t="str">
        <x:v>Small hits create large run losses.</x:v>
      </x:c>
      <x:c r="D11" s="318" t="str">
        <x:v>Choose one enemy type and repeat 20 encounters.</x:v>
      </x:c>
      <x:c r="E11" s="400" t="n">
        <x:v>1</x:v>
      </x:c>
      <x:c r="F11" s="400" t="n">
        <x:v>4</x:v>
      </x:c>
      <x:c r="G11" s="318" t="str"/>
      <x:c r="H11" s="424"/>
      <x:c r="I11" s="318" t="str">
        <x:v>Not Started</x:v>
      </x:c>
      <x:c r="J11" s="319" t="str"/>
      <x:c r="K11" s="306"/>
      <x:c r="L11" s="306"/>
      <x:c r="M11" s="306"/>
      <x:c r="N11" s="306"/>
      <x:c r="O11" s="306"/>
      <x:c r="P11" s="306"/>
      <x:c r="Q11" s="306"/>
    </x:row>
    <x:row r="12" ht="55" customHeight="1">
      <x:c r="A12" s="317" t="str">
        <x:v>Combat</x:v>
      </x:c>
      <x:c r="B12" s="318" t="str">
        <x:v>Hammer Bros and map encounters</x:v>
      </x:c>
      <x:c r="C12" s="318" t="str">
        <x:v>These fights can drain items and momentum.</x:v>
      </x:c>
      <x:c r="D12" s="318" t="str">
        <x:v>Fight the encounter repeatedly with two power-up states.</x:v>
      </x:c>
      <x:c r="E12" s="400" t="n">
        <x:v>1</x:v>
      </x:c>
      <x:c r="F12" s="400" t="n">
        <x:v>4</x:v>
      </x:c>
      <x:c r="G12" s="318" t="str"/>
      <x:c r="H12" s="424"/>
      <x:c r="I12" s="318" t="str">
        <x:v>Not Started</x:v>
      </x:c>
      <x:c r="J12" s="319" t="str"/>
      <x:c r="K12" s="306"/>
      <x:c r="L12" s="306"/>
      <x:c r="M12" s="306"/>
      <x:c r="N12" s="306"/>
      <x:c r="O12" s="306"/>
      <x:c r="P12" s="306"/>
      <x:c r="Q12" s="306"/>
    </x:row>
    <x:row r="13" ht="55" customHeight="1">
      <x:c r="A13" s="317" t="str">
        <x:v>Bosses</x:v>
      </x:c>
      <x:c r="B13" s="318" t="str">
        <x:v>Boom Boom consistency</x:v>
      </x:c>
      <x:c r="C13" s="318" t="str">
        <x:v>Fortress losses compound quickly.</x:v>
      </x:c>
      <x:c r="D13" s="318" t="str">
        <x:v>Win five times in a row.</x:v>
      </x:c>
      <x:c r="E13" s="400" t="n">
        <x:v>1</x:v>
      </x:c>
      <x:c r="F13" s="400" t="n">
        <x:v>5</x:v>
      </x:c>
      <x:c r="G13" s="318" t="str"/>
      <x:c r="H13" s="424"/>
      <x:c r="I13" s="318" t="str">
        <x:v>Not Started</x:v>
      </x:c>
      <x:c r="J13" s="319" t="str"/>
      <x:c r="K13" s="306"/>
      <x:c r="L13" s="306"/>
      <x:c r="M13" s="306"/>
      <x:c r="N13" s="306"/>
      <x:c r="O13" s="306"/>
      <x:c r="P13" s="306"/>
      <x:c r="Q13" s="306"/>
    </x:row>
    <x:row r="14" ht="55" customHeight="1">
      <x:c r="A14" s="317" t="str">
        <x:v>Bosses</x:v>
      </x:c>
      <x:c r="B14" s="318" t="str">
        <x:v>Koopaling consistency</x:v>
      </x:c>
      <x:c r="C14" s="318" t="str">
        <x:v>Clean boss fights protect runs and power-ups.</x:v>
      </x:c>
      <x:c r="D14" s="318" t="str">
        <x:v>Practice the weakest boss until five consecutive wins.</x:v>
      </x:c>
      <x:c r="E14" s="400" t="n">
        <x:v>1</x:v>
      </x:c>
      <x:c r="F14" s="400" t="n">
        <x:v>4</x:v>
      </x:c>
      <x:c r="G14" s="318" t="str"/>
      <x:c r="H14" s="424"/>
      <x:c r="I14" s="318" t="str">
        <x:v>Not Started</x:v>
      </x:c>
      <x:c r="J14" s="319" t="str"/>
      <x:c r="K14" s="306"/>
      <x:c r="L14" s="306"/>
      <x:c r="M14" s="306"/>
      <x:c r="N14" s="306"/>
      <x:c r="O14" s="306"/>
      <x:c r="P14" s="306"/>
      <x:c r="Q14" s="306"/>
    </x:row>
    <x:row r="15" ht="55" customHeight="1">
      <x:c r="A15" s="317" t="str">
        <x:v>Level Knowledge</x:v>
      </x:c>
      <x:c r="B15" s="318" t="str">
        <x:v>Worlds 1–2</x:v>
      </x:c>
      <x:c r="C15" s="318" t="str">
        <x:v>Early consistency creates a stable run.</x:v>
      </x:c>
      <x:c r="D15" s="318" t="str">
        <x:v>Select three weak levels and clear each three times.</x:v>
      </x:c>
      <x:c r="E15" s="400" t="n">
        <x:v>1</x:v>
      </x:c>
      <x:c r="F15" s="400" t="n">
        <x:v>5</x:v>
      </x:c>
      <x:c r="G15" s="318" t="str"/>
      <x:c r="H15" s="424"/>
      <x:c r="I15" s="318" t="str">
        <x:v>Not Started</x:v>
      </x:c>
      <x:c r="J15" s="319" t="str"/>
      <x:c r="K15" s="306"/>
      <x:c r="L15" s="306"/>
      <x:c r="M15" s="306"/>
      <x:c r="N15" s="306"/>
      <x:c r="O15" s="306"/>
      <x:c r="P15" s="306"/>
      <x:c r="Q15" s="306"/>
    </x:row>
    <x:row r="16" ht="55" customHeight="1">
      <x:c r="A16" s="317" t="str">
        <x:v>Level Knowledge</x:v>
      </x:c>
      <x:c r="B16" s="318" t="str">
        <x:v>Worlds 3–4</x:v>
      </x:c>
      <x:c r="C16" s="318" t="str">
        <x:v>Midgame variety tests movement and routing.</x:v>
      </x:c>
      <x:c r="D16" s="318" t="str">
        <x:v>Select three weak levels and clear each three times.</x:v>
      </x:c>
      <x:c r="E16" s="400" t="n">
        <x:v>1</x:v>
      </x:c>
      <x:c r="F16" s="400" t="n">
        <x:v>4</x:v>
      </x:c>
      <x:c r="G16" s="318" t="str"/>
      <x:c r="H16" s="424"/>
      <x:c r="I16" s="318" t="str">
        <x:v>Not Started</x:v>
      </x:c>
      <x:c r="J16" s="319" t="str"/>
      <x:c r="K16" s="306"/>
      <x:c r="L16" s="306"/>
      <x:c r="M16" s="306"/>
      <x:c r="N16" s="306"/>
      <x:c r="O16" s="306"/>
      <x:c r="P16" s="306"/>
      <x:c r="Q16" s="306"/>
    </x:row>
    <x:row r="17" ht="55" customHeight="1">
      <x:c r="A17" s="317" t="str">
        <x:v>Level Knowledge</x:v>
      </x:c>
      <x:c r="B17" s="318" t="str">
        <x:v>Worlds 5–6</x:v>
      </x:c>
      <x:c r="C17" s="318" t="str">
        <x:v>Vertical and special stages demand control.</x:v>
      </x:c>
      <x:c r="D17" s="318" t="str">
        <x:v>Select three weak levels and clear each three times.</x:v>
      </x:c>
      <x:c r="E17" s="400" t="n">
        <x:v>1</x:v>
      </x:c>
      <x:c r="F17" s="400" t="n">
        <x:v>4</x:v>
      </x:c>
      <x:c r="G17" s="318" t="str"/>
      <x:c r="H17" s="424"/>
      <x:c r="I17" s="318" t="str">
        <x:v>Not Started</x:v>
      </x:c>
      <x:c r="J17" s="319" t="str"/>
      <x:c r="K17" s="306"/>
      <x:c r="L17" s="306"/>
      <x:c r="M17" s="306"/>
      <x:c r="N17" s="306"/>
      <x:c r="O17" s="306"/>
      <x:c r="P17" s="306"/>
      <x:c r="Q17" s="306"/>
    </x:row>
    <x:row r="18" ht="55" customHeight="1">
      <x:c r="A18" s="317" t="str">
        <x:v>Level Knowledge</x:v>
      </x:c>
      <x:c r="B18" s="318" t="str">
        <x:v>Worlds 7–8</x:v>
      </x:c>
      <x:c r="C18" s="318" t="str">
        <x:v>Late-game consistency decides completions.</x:v>
      </x:c>
      <x:c r="D18" s="318" t="str">
        <x:v>Repeat one late level and one vehicle/fortress stage.</x:v>
      </x:c>
      <x:c r="E18" s="400" t="n">
        <x:v>1</x:v>
      </x:c>
      <x:c r="F18" s="400" t="n">
        <x:v>4</x:v>
      </x:c>
      <x:c r="G18" s="318" t="str"/>
      <x:c r="H18" s="424"/>
      <x:c r="I18" s="318" t="str">
        <x:v>Not Started</x:v>
      </x:c>
      <x:c r="J18" s="319" t="str"/>
      <x:c r="K18" s="306"/>
      <x:c r="L18" s="306"/>
      <x:c r="M18" s="306"/>
      <x:c r="N18" s="306"/>
      <x:c r="O18" s="306"/>
      <x:c r="P18" s="306"/>
      <x:c r="Q18" s="306"/>
    </x:row>
    <x:row r="19" ht="55" customHeight="1">
      <x:c r="A19" s="317" t="str">
        <x:v>Strategy</x:v>
      </x:c>
      <x:c r="B19" s="318" t="str">
        <x:v>Power-up and inventory management</x:v>
      </x:c>
      <x:c r="C19" s="318" t="str">
        <x:v>Good item use raises completion rate.</x:v>
      </x:c>
      <x:c r="D19" s="318" t="str">
        <x:v>Label item uses as necessary, optional, or wasted.</x:v>
      </x:c>
      <x:c r="E19" s="400" t="n">
        <x:v>1</x:v>
      </x:c>
      <x:c r="F19" s="400" t="n">
        <x:v>4</x:v>
      </x:c>
      <x:c r="G19" s="318" t="str"/>
      <x:c r="H19" s="424"/>
      <x:c r="I19" s="318" t="str">
        <x:v>Not Started</x:v>
      </x:c>
      <x:c r="J19" s="319" t="str"/>
      <x:c r="K19" s="306"/>
      <x:c r="L19" s="306"/>
      <x:c r="M19" s="306"/>
      <x:c r="N19" s="306"/>
      <x:c r="O19" s="306"/>
      <x:c r="P19" s="306"/>
      <x:c r="Q19" s="306"/>
    </x:row>
    <x:row r="20" ht="55" customHeight="1">
      <x:c r="A20" s="317" t="str">
        <x:v>Strategy</x:v>
      </x:c>
      <x:c r="B20" s="318" t="str">
        <x:v>Recovery after a death or bad start</x:v>
      </x:c>
      <x:c r="C20" s="318" t="str">
        <x:v>Prevents emotional resets and abandoned seeds.</x:v>
      </x:c>
      <x:c r="D20" s="318" t="str">
        <x:v>Play 30 minutes with no immediate reset.</x:v>
      </x:c>
      <x:c r="E20" s="400" t="n">
        <x:v>1</x:v>
      </x:c>
      <x:c r="F20" s="400" t="n">
        <x:v>5</x:v>
      </x:c>
      <x:c r="G20" s="318" t="str"/>
      <x:c r="H20" s="424"/>
      <x:c r="I20" s="318" t="str">
        <x:v>Not Started</x:v>
      </x:c>
      <x:c r="J20" s="319" t="str"/>
      <x:c r="K20" s="306"/>
      <x:c r="L20" s="306"/>
      <x:c r="M20" s="306"/>
      <x:c r="N20" s="306"/>
      <x:c r="O20" s="306"/>
      <x:c r="P20" s="306"/>
      <x:c r="Q20" s="306"/>
    </x:row>
    <x:row r="21" ht="55" customHeight="1">
      <x:c r="A21" s="317" t="str">
        <x:v>Randomizer</x:v>
      </x:c>
      <x:c r="B21" s="318" t="str">
        <x:v>Unfamiliar-level reading</x:v>
      </x:c>
      <x:c r="C21" s="318" t="str">
        <x:v>Randomized order punishes blind rushing.</x:v>
      </x:c>
      <x:c r="D21" s="318" t="str">
        <x:v>At safe spots, identify the next threat before moving.</x:v>
      </x:c>
      <x:c r="E21" s="400" t="n">
        <x:v>1</x:v>
      </x:c>
      <x:c r="F21" s="400" t="n">
        <x:v>4</x:v>
      </x:c>
      <x:c r="G21" s="318" t="str"/>
      <x:c r="H21" s="424"/>
      <x:c r="I21" s="318" t="str">
        <x:v>Not Started</x:v>
      </x:c>
      <x:c r="J21" s="319" t="str"/>
      <x:c r="K21" s="306"/>
      <x:c r="L21" s="306"/>
      <x:c r="M21" s="306"/>
      <x:c r="N21" s="306"/>
      <x:c r="O21" s="306"/>
      <x:c r="P21" s="306"/>
      <x:c r="Q21" s="306"/>
    </x:row>
    <x:row r="22" ht="55" customHeight="1">
      <x:c r="A22" s="317" t="str">
        <x:v>Randomizer</x:v>
      </x:c>
      <x:c r="B22" s="318" t="str">
        <x:v>Route and setting adaptation</x:v>
      </x:c>
      <x:c r="C22" s="318" t="str">
        <x:v>Different seeds require different priorities.</x:v>
      </x:c>
      <x:c r="D22" s="318" t="str">
        <x:v>Write route priorities before the seed and review them after.</x:v>
      </x:c>
      <x:c r="E22" s="400" t="n">
        <x:v>1</x:v>
      </x:c>
      <x:c r="F22" s="400" t="n">
        <x:v>4</x:v>
      </x:c>
      <x:c r="G22" s="318" t="str"/>
      <x:c r="H22" s="424"/>
      <x:c r="I22" s="318" t="str">
        <x:v>Not Started</x:v>
      </x:c>
      <x:c r="J22" s="319" t="str"/>
      <x:c r="K22" s="306"/>
      <x:c r="L22" s="306"/>
      <x:c r="M22" s="306"/>
      <x:c r="N22" s="306"/>
      <x:c r="O22" s="306"/>
      <x:c r="P22" s="306"/>
      <x:c r="Q22" s="306"/>
    </x:row>
    <x:row r="23" ht="55" customHeight="1">
      <x:c r="A23" s="317" t="str">
        <x:v>Randomizer</x:v>
      </x:c>
      <x:c r="B23" s="318" t="str">
        <x:v>Decision speed without panic</x:v>
      </x:c>
      <x:c r="C23" s="318" t="str">
        <x:v>Hesitation and impulsive choices both cost time.</x:v>
      </x:c>
      <x:c r="D23" s="318" t="str">
        <x:v>Use a simple two-option decision rule on the map.</x:v>
      </x:c>
      <x:c r="E23" s="400" t="n">
        <x:v>1</x:v>
      </x:c>
      <x:c r="F23" s="400" t="n">
        <x:v>4</x:v>
      </x:c>
      <x:c r="G23" s="318" t="str"/>
      <x:c r="H23" s="424"/>
      <x:c r="I23" s="318" t="str">
        <x:v>Not Started</x:v>
      </x:c>
      <x:c r="J23" s="319" t="str"/>
      <x:c r="K23" s="306"/>
      <x:c r="L23" s="306"/>
      <x:c r="M23" s="306"/>
      <x:c r="N23" s="306"/>
      <x:c r="O23" s="306"/>
      <x:c r="P23" s="306"/>
      <x:c r="Q23" s="306"/>
    </x:row>
    <x:row r="24" ht="55" customHeight="1">
      <x:c r="A24" s="324" t="str">
        <x:v>Consistency</x:v>
      </x:c>
      <x:c r="B24" s="325" t="str">
        <x:v>Warm-up and serious-attempt routine</x:v>
      </x:c>
      <x:c r="C24" s="325" t="str">
        <x:v>A repeatable routine makes performance measurable.</x:v>
      </x:c>
      <x:c r="D24" s="325" t="str">
        <x:v>Use the same 10-minute warm-up before three tests.</x:v>
      </x:c>
      <x:c r="E24" s="401" t="n">
        <x:v>1</x:v>
      </x:c>
      <x:c r="F24" s="401" t="n">
        <x:v>5</x:v>
      </x:c>
      <x:c r="G24" s="325" t="str"/>
      <x:c r="H24" s="425"/>
      <x:c r="I24" s="325" t="str">
        <x:v>Not Started</x:v>
      </x:c>
      <x:c r="J24" s="326" t="str"/>
      <x:c r="K24" s="306"/>
      <x:c r="L24" s="306"/>
      <x:c r="M24" s="306"/>
      <x:c r="N24" s="306"/>
      <x:c r="O24" s="306"/>
      <x:c r="P24" s="306"/>
      <x:c r="Q24" s="306"/>
    </x:row>
    <x:row r="25">
      <x:c r="A25" s="306"/>
      <x:c r="B25" s="306"/>
      <x:c r="C25" s="306"/>
      <x:c r="D25" s="306"/>
      <x:c r="E25" s="306"/>
      <x:c r="F25" s="306"/>
      <x:c r="G25" s="306"/>
      <x:c r="H25" s="306"/>
      <x:c r="I25" s="306"/>
      <x:c r="J25" s="306"/>
      <x:c r="K25" s="306"/>
      <x:c r="L25" s="306"/>
      <x:c r="M25" s="306"/>
      <x:c r="N25" s="306"/>
      <x:c r="O25" s="306"/>
      <x:c r="P25" s="306"/>
      <x:c r="Q25" s="306"/>
    </x:row>
    <x:row r="26">
      <x:c r="A26" s="306"/>
      <x:c r="B26" s="306"/>
      <x:c r="C26" s="306"/>
      <x:c r="D26" s="306"/>
      <x:c r="E26" s="306"/>
      <x:c r="F26" s="306"/>
      <x:c r="G26" s="306"/>
      <x:c r="H26" s="306"/>
      <x:c r="I26" s="306"/>
      <x:c r="J26" s="306"/>
      <x:c r="K26" s="306"/>
      <x:c r="L26" s="306"/>
      <x:c r="M26" s="306"/>
      <x:c r="N26" s="306"/>
      <x:c r="O26" s="306"/>
      <x:c r="P26" s="306"/>
      <x:c r="Q26" s="306"/>
    </x:row>
    <x:row r="27">
      <x:c r="A27" s="306"/>
      <x:c r="B27" s="306"/>
      <x:c r="C27" s="306"/>
      <x:c r="D27" s="306"/>
      <x:c r="E27" s="306"/>
      <x:c r="F27" s="306"/>
      <x:c r="G27" s="306"/>
      <x:c r="H27" s="306"/>
      <x:c r="I27" s="306"/>
      <x:c r="J27" s="306"/>
      <x:c r="K27" s="306"/>
      <x:c r="L27" s="306"/>
      <x:c r="M27" s="306"/>
      <x:c r="N27" s="306"/>
      <x:c r="O27" s="306"/>
      <x:c r="P27" s="306"/>
      <x:c r="Q27" s="306"/>
    </x:row>
    <x:row r="28">
      <x:c r="A28" s="306"/>
      <x:c r="B28" s="306"/>
      <x:c r="C28" s="306"/>
      <x:c r="D28" s="306"/>
      <x:c r="E28" s="306"/>
      <x:c r="F28" s="306"/>
      <x:c r="G28" s="306"/>
      <x:c r="H28" s="306"/>
      <x:c r="I28" s="306"/>
      <x:c r="J28" s="306"/>
      <x:c r="K28" s="306"/>
      <x:c r="L28" s="306"/>
      <x:c r="M28" s="306"/>
      <x:c r="N28" s="306"/>
      <x:c r="O28" s="306"/>
      <x:c r="P28" s="306"/>
      <x:c r="Q28" s="306"/>
    </x:row>
    <x:row r="29">
      <x:c r="A29" s="306"/>
      <x:c r="B29" s="306"/>
      <x:c r="C29" s="306"/>
      <x:c r="D29" s="306"/>
      <x:c r="E29" s="306"/>
      <x:c r="F29" s="306"/>
      <x:c r="G29" s="306"/>
      <x:c r="H29" s="306"/>
      <x:c r="I29" s="306"/>
      <x:c r="J29" s="306"/>
      <x:c r="K29" s="306"/>
      <x:c r="L29" s="306"/>
      <x:c r="M29" s="306"/>
      <x:c r="N29" s="306"/>
      <x:c r="O29" s="306"/>
      <x:c r="P29" s="306"/>
      <x:c r="Q29" s="306"/>
    </x:row>
    <x:row r="30">
      <x:c r="A30" s="306"/>
      <x:c r="B30" s="306"/>
      <x:c r="C30" s="306"/>
      <x:c r="D30" s="306"/>
      <x:c r="E30" s="306"/>
      <x:c r="F30" s="306"/>
      <x:c r="G30" s="306"/>
      <x:c r="H30" s="306"/>
      <x:c r="I30" s="306"/>
      <x:c r="J30" s="306"/>
      <x:c r="K30" s="306"/>
      <x:c r="L30" s="306"/>
      <x:c r="M30" s="306"/>
      <x:c r="N30" s="306"/>
      <x:c r="O30" s="306"/>
      <x:c r="P30" s="306"/>
      <x:c r="Q30" s="306"/>
    </x:row>
    <x:row r="31">
      <x:c r="A31" s="306"/>
      <x:c r="B31" s="306"/>
      <x:c r="C31" s="306"/>
      <x:c r="D31" s="306"/>
      <x:c r="E31" s="306"/>
      <x:c r="F31" s="306"/>
      <x:c r="G31" s="306"/>
      <x:c r="H31" s="306"/>
      <x:c r="I31" s="306"/>
      <x:c r="J31" s="306"/>
      <x:c r="K31" s="306"/>
      <x:c r="L31" s="306"/>
      <x:c r="M31" s="306"/>
      <x:c r="N31" s="306"/>
      <x:c r="O31" s="306"/>
      <x:c r="P31" s="306"/>
      <x:c r="Q31" s="306"/>
    </x:row>
    <x:row r="32">
      <x:c r="A32" s="306"/>
      <x:c r="B32" s="306"/>
      <x:c r="C32" s="306"/>
      <x:c r="D32" s="306"/>
      <x:c r="E32" s="306"/>
      <x:c r="F32" s="306"/>
      <x:c r="G32" s="306"/>
      <x:c r="H32" s="306"/>
      <x:c r="I32" s="306"/>
      <x:c r="J32" s="306"/>
      <x:c r="K32" s="306"/>
      <x:c r="L32" s="306"/>
      <x:c r="M32" s="306"/>
      <x:c r="N32" s="306"/>
      <x:c r="O32" s="306"/>
      <x:c r="P32" s="306"/>
      <x:c r="Q32" s="306"/>
    </x:row>
    <x:row r="33">
      <x:c r="A33" s="306"/>
      <x:c r="B33" s="306"/>
      <x:c r="C33" s="306"/>
      <x:c r="D33" s="306"/>
      <x:c r="E33" s="306"/>
      <x:c r="F33" s="306"/>
      <x:c r="G33" s="306"/>
      <x:c r="H33" s="306"/>
      <x:c r="I33" s="306"/>
      <x:c r="J33" s="306"/>
      <x:c r="K33" s="306"/>
      <x:c r="L33" s="306"/>
      <x:c r="M33" s="306"/>
      <x:c r="N33" s="306"/>
      <x:c r="O33" s="306"/>
      <x:c r="P33" s="306"/>
      <x:c r="Q33" s="306"/>
    </x:row>
    <x:row r="34">
      <x:c r="A34" s="306"/>
      <x:c r="B34" s="306"/>
      <x:c r="C34" s="306"/>
      <x:c r="D34" s="306"/>
      <x:c r="E34" s="306"/>
      <x:c r="F34" s="306"/>
      <x:c r="G34" s="306"/>
      <x:c r="H34" s="306"/>
      <x:c r="I34" s="306"/>
      <x:c r="J34" s="306"/>
      <x:c r="K34" s="306"/>
      <x:c r="L34" s="306"/>
      <x:c r="M34" s="306"/>
      <x:c r="N34" s="306"/>
      <x:c r="O34" s="306"/>
      <x:c r="P34" s="306"/>
      <x:c r="Q34" s="306"/>
    </x:row>
    <x:row r="35">
      <x:c r="A35" s="306"/>
      <x:c r="B35" s="306"/>
      <x:c r="C35" s="306"/>
      <x:c r="D35" s="306"/>
      <x:c r="E35" s="306"/>
      <x:c r="F35" s="306"/>
      <x:c r="G35" s="306"/>
      <x:c r="H35" s="306"/>
      <x:c r="I35" s="306"/>
      <x:c r="J35" s="306"/>
      <x:c r="K35" s="306"/>
      <x:c r="L35" s="306"/>
      <x:c r="M35" s="306"/>
      <x:c r="N35" s="306"/>
      <x:c r="O35" s="306"/>
      <x:c r="P35" s="306"/>
      <x:c r="Q35" s="306"/>
    </x:row>
    <x:row r="36">
      <x:c r="A36" s="306"/>
      <x:c r="B36" s="306"/>
      <x:c r="C36" s="306"/>
      <x:c r="D36" s="306"/>
      <x:c r="E36" s="306"/>
      <x:c r="F36" s="306"/>
      <x:c r="G36" s="306"/>
      <x:c r="H36" s="306"/>
      <x:c r="I36" s="306"/>
      <x:c r="J36" s="306"/>
      <x:c r="K36" s="306"/>
      <x:c r="L36" s="306"/>
      <x:c r="M36" s="306"/>
      <x:c r="N36" s="306"/>
      <x:c r="O36" s="306"/>
      <x:c r="P36" s="306"/>
      <x:c r="Q36" s="306"/>
    </x:row>
    <x:row r="37">
      <x:c r="A37" s="306"/>
      <x:c r="B37" s="306"/>
      <x:c r="C37" s="306"/>
      <x:c r="D37" s="306"/>
      <x:c r="E37" s="306"/>
      <x:c r="F37" s="306"/>
      <x:c r="G37" s="306"/>
      <x:c r="H37" s="306"/>
      <x:c r="I37" s="306"/>
      <x:c r="J37" s="306"/>
      <x:c r="K37" s="306"/>
      <x:c r="L37" s="306"/>
      <x:c r="M37" s="306"/>
      <x:c r="N37" s="306"/>
      <x:c r="O37" s="306"/>
      <x:c r="P37" s="306"/>
      <x:c r="Q37" s="306"/>
    </x:row>
    <x:row r="38">
      <x:c r="A38" s="306"/>
      <x:c r="B38" s="306"/>
      <x:c r="C38" s="306"/>
      <x:c r="D38" s="306"/>
      <x:c r="E38" s="306"/>
      <x:c r="F38" s="306"/>
      <x:c r="G38" s="306"/>
      <x:c r="H38" s="306"/>
      <x:c r="I38" s="306"/>
      <x:c r="J38" s="306"/>
      <x:c r="K38" s="306"/>
      <x:c r="L38" s="306"/>
      <x:c r="M38" s="306"/>
      <x:c r="N38" s="306"/>
      <x:c r="O38" s="306"/>
      <x:c r="P38" s="306"/>
      <x:c r="Q38" s="306"/>
    </x:row>
    <x:row r="39">
      <x:c r="A39" s="306"/>
      <x:c r="B39" s="306"/>
      <x:c r="C39" s="306"/>
      <x:c r="D39" s="306"/>
      <x:c r="E39" s="306"/>
      <x:c r="F39" s="306"/>
      <x:c r="G39" s="306"/>
      <x:c r="H39" s="306"/>
      <x:c r="I39" s="306"/>
      <x:c r="J39" s="306"/>
      <x:c r="K39" s="306"/>
      <x:c r="L39" s="306"/>
      <x:c r="M39" s="306"/>
      <x:c r="N39" s="306"/>
      <x:c r="O39" s="306"/>
      <x:c r="P39" s="306"/>
      <x:c r="Q39" s="306"/>
    </x:row>
    <x:row r="40">
      <x:c r="A40" s="306"/>
      <x:c r="B40" s="306"/>
      <x:c r="C40" s="306"/>
      <x:c r="D40" s="306"/>
      <x:c r="E40" s="306"/>
      <x:c r="F40" s="306"/>
      <x:c r="G40" s="306"/>
      <x:c r="H40" s="306"/>
      <x:c r="I40" s="306"/>
      <x:c r="J40" s="306"/>
      <x:c r="K40" s="306"/>
      <x:c r="L40" s="306"/>
      <x:c r="M40" s="306"/>
      <x:c r="N40" s="306"/>
      <x:c r="O40" s="306"/>
      <x:c r="P40" s="306"/>
      <x:c r="Q40" s="306"/>
    </x:row>
    <x:row r="41">
      <x:c r="A41" s="306"/>
      <x:c r="B41" s="306"/>
      <x:c r="C41" s="306"/>
      <x:c r="D41" s="306"/>
      <x:c r="E41" s="306"/>
      <x:c r="F41" s="306"/>
      <x:c r="G41" s="306"/>
      <x:c r="H41" s="306"/>
      <x:c r="I41" s="306"/>
      <x:c r="J41" s="306"/>
      <x:c r="K41" s="306"/>
      <x:c r="L41" s="306"/>
      <x:c r="M41" s="306"/>
      <x:c r="N41" s="306"/>
      <x:c r="O41" s="306"/>
      <x:c r="P41" s="306"/>
      <x:c r="Q41" s="306"/>
    </x:row>
    <x:row r="42">
      <x:c r="A42" s="306"/>
      <x:c r="B42" s="306"/>
      <x:c r="C42" s="306"/>
      <x:c r="D42" s="306"/>
      <x:c r="E42" s="306"/>
      <x:c r="F42" s="306"/>
      <x:c r="G42" s="306"/>
      <x:c r="H42" s="306"/>
      <x:c r="I42" s="306"/>
      <x:c r="J42" s="306"/>
      <x:c r="K42" s="306"/>
      <x:c r="L42" s="306"/>
      <x:c r="M42" s="306"/>
      <x:c r="N42" s="306"/>
      <x:c r="O42" s="306"/>
      <x:c r="P42" s="306"/>
      <x:c r="Q42" s="306"/>
    </x:row>
    <x:row r="43">
      <x:c r="A43" s="306"/>
      <x:c r="B43" s="306"/>
      <x:c r="C43" s="306"/>
      <x:c r="D43" s="306"/>
      <x:c r="E43" s="306"/>
      <x:c r="F43" s="306"/>
      <x:c r="G43" s="306"/>
      <x:c r="H43" s="306"/>
      <x:c r="I43" s="306"/>
      <x:c r="J43" s="306"/>
      <x:c r="K43" s="306"/>
      <x:c r="L43" s="306"/>
      <x:c r="M43" s="306"/>
      <x:c r="N43" s="306"/>
      <x:c r="O43" s="306"/>
      <x:c r="P43" s="306"/>
      <x:c r="Q43" s="306"/>
    </x:row>
    <x:row r="44">
      <x:c r="A44" s="306"/>
      <x:c r="B44" s="306"/>
      <x:c r="C44" s="306"/>
      <x:c r="D44" s="306"/>
      <x:c r="E44" s="306"/>
      <x:c r="F44" s="306"/>
      <x:c r="G44" s="306"/>
      <x:c r="H44" s="306"/>
      <x:c r="I44" s="306"/>
      <x:c r="J44" s="306"/>
      <x:c r="K44" s="306"/>
      <x:c r="L44" s="306"/>
      <x:c r="M44" s="306"/>
      <x:c r="N44" s="306"/>
      <x:c r="O44" s="306"/>
      <x:c r="P44" s="306"/>
      <x:c r="Q44" s="306"/>
    </x:row>
    <x:row r="45">
      <x:c r="A45" s="306"/>
      <x:c r="B45" s="306"/>
      <x:c r="C45" s="306"/>
      <x:c r="D45" s="306"/>
      <x:c r="E45" s="306"/>
      <x:c r="F45" s="306"/>
      <x:c r="G45" s="306"/>
      <x:c r="H45" s="306"/>
      <x:c r="I45" s="306"/>
      <x:c r="J45" s="306"/>
      <x:c r="K45" s="306"/>
      <x:c r="L45" s="306"/>
      <x:c r="M45" s="306"/>
      <x:c r="N45" s="306"/>
      <x:c r="O45" s="306"/>
      <x:c r="P45" s="306"/>
      <x:c r="Q45" s="306"/>
    </x:row>
    <x:row r="46">
      <x:c r="A46" s="306"/>
      <x:c r="B46" s="306"/>
      <x:c r="C46" s="306"/>
      <x:c r="D46" s="306"/>
      <x:c r="E46" s="306"/>
      <x:c r="F46" s="306"/>
      <x:c r="G46" s="306"/>
      <x:c r="H46" s="306"/>
      <x:c r="I46" s="306"/>
      <x:c r="J46" s="306"/>
      <x:c r="K46" s="306"/>
      <x:c r="L46" s="306"/>
      <x:c r="M46" s="306"/>
      <x:c r="N46" s="306"/>
      <x:c r="O46" s="306"/>
      <x:c r="P46" s="306"/>
      <x:c r="Q46" s="306"/>
    </x:row>
    <x:row r="47">
      <x:c r="A47" s="306"/>
      <x:c r="B47" s="306"/>
      <x:c r="C47" s="306"/>
      <x:c r="D47" s="306"/>
      <x:c r="E47" s="306"/>
      <x:c r="F47" s="306"/>
      <x:c r="G47" s="306"/>
      <x:c r="H47" s="306"/>
      <x:c r="I47" s="306"/>
      <x:c r="J47" s="306"/>
      <x:c r="K47" s="306"/>
      <x:c r="L47" s="306"/>
      <x:c r="M47" s="306"/>
      <x:c r="N47" s="306"/>
      <x:c r="O47" s="306"/>
      <x:c r="P47" s="306"/>
      <x:c r="Q47" s="306"/>
    </x:row>
    <x:row r="48">
      <x:c r="A48" s="306"/>
      <x:c r="B48" s="306"/>
      <x:c r="C48" s="306"/>
      <x:c r="D48" s="306"/>
      <x:c r="E48" s="306"/>
      <x:c r="F48" s="306"/>
      <x:c r="G48" s="306"/>
      <x:c r="H48" s="306"/>
      <x:c r="I48" s="306"/>
      <x:c r="J48" s="306"/>
      <x:c r="K48" s="306"/>
      <x:c r="L48" s="306"/>
      <x:c r="M48" s="306"/>
      <x:c r="N48" s="306"/>
      <x:c r="O48" s="306"/>
      <x:c r="P48" s="306"/>
      <x:c r="Q48" s="306"/>
    </x:row>
    <x:row r="49">
      <x:c r="A49" s="306"/>
      <x:c r="B49" s="306"/>
      <x:c r="C49" s="306"/>
      <x:c r="D49" s="306"/>
      <x:c r="E49" s="306"/>
      <x:c r="F49" s="306"/>
      <x:c r="G49" s="306"/>
      <x:c r="H49" s="306"/>
      <x:c r="I49" s="306"/>
      <x:c r="J49" s="306"/>
      <x:c r="K49" s="306"/>
      <x:c r="L49" s="306"/>
      <x:c r="M49" s="306"/>
      <x:c r="N49" s="306"/>
      <x:c r="O49" s="306"/>
      <x:c r="P49" s="306"/>
      <x:c r="Q49" s="306"/>
    </x:row>
    <x:row r="50">
      <x:c r="A50" s="306"/>
      <x:c r="B50" s="306"/>
      <x:c r="C50" s="306"/>
      <x:c r="D50" s="306"/>
      <x:c r="E50" s="306"/>
      <x:c r="F50" s="306"/>
      <x:c r="G50" s="306"/>
      <x:c r="H50" s="306"/>
      <x:c r="I50" s="306"/>
      <x:c r="J50" s="306"/>
      <x:c r="K50" s="306"/>
      <x:c r="L50" s="306"/>
      <x:c r="M50" s="306"/>
      <x:c r="N50" s="306"/>
      <x:c r="O50" s="306"/>
      <x:c r="P50" s="306"/>
      <x:c r="Q50" s="306"/>
    </x:row>
    <x:row r="51">
      <x:c r="A51" s="306"/>
      <x:c r="B51" s="306"/>
      <x:c r="C51" s="306"/>
      <x:c r="D51" s="306"/>
      <x:c r="E51" s="306"/>
      <x:c r="F51" s="306"/>
      <x:c r="G51" s="306"/>
      <x:c r="H51" s="306"/>
      <x:c r="I51" s="306"/>
      <x:c r="J51" s="306"/>
      <x:c r="K51" s="306"/>
      <x:c r="L51" s="306"/>
      <x:c r="M51" s="306"/>
      <x:c r="N51" s="306"/>
      <x:c r="O51" s="306"/>
      <x:c r="P51" s="306"/>
      <x:c r="Q51" s="306"/>
    </x:row>
    <x:row r="52">
      <x:c r="A52" s="306"/>
      <x:c r="B52" s="306"/>
      <x:c r="C52" s="306"/>
      <x:c r="D52" s="306"/>
      <x:c r="E52" s="306"/>
      <x:c r="F52" s="306"/>
      <x:c r="G52" s="306"/>
      <x:c r="H52" s="306"/>
      <x:c r="I52" s="306"/>
      <x:c r="J52" s="306"/>
      <x:c r="K52" s="306"/>
      <x:c r="L52" s="306"/>
      <x:c r="M52" s="306"/>
      <x:c r="N52" s="306"/>
      <x:c r="O52" s="306"/>
      <x:c r="P52" s="306"/>
      <x:c r="Q52" s="306"/>
    </x:row>
    <x:row r="53">
      <x:c r="A53" s="306"/>
      <x:c r="B53" s="306"/>
      <x:c r="C53" s="306"/>
      <x:c r="D53" s="306"/>
      <x:c r="E53" s="306"/>
      <x:c r="F53" s="306"/>
      <x:c r="G53" s="306"/>
      <x:c r="H53" s="306"/>
      <x:c r="I53" s="306"/>
      <x:c r="J53" s="306"/>
      <x:c r="K53" s="306"/>
      <x:c r="L53" s="306"/>
      <x:c r="M53" s="306"/>
      <x:c r="N53" s="306"/>
      <x:c r="O53" s="306"/>
      <x:c r="P53" s="306"/>
      <x:c r="Q53" s="306"/>
    </x:row>
    <x:row r="54">
      <x:c r="A54" s="306"/>
      <x:c r="B54" s="306"/>
      <x:c r="C54" s="306"/>
      <x:c r="D54" s="306"/>
      <x:c r="E54" s="306"/>
      <x:c r="F54" s="306"/>
      <x:c r="G54" s="306"/>
      <x:c r="H54" s="306"/>
      <x:c r="I54" s="306"/>
      <x:c r="J54" s="306"/>
      <x:c r="K54" s="306"/>
      <x:c r="L54" s="306"/>
      <x:c r="M54" s="306"/>
      <x:c r="N54" s="306"/>
      <x:c r="O54" s="306"/>
      <x:c r="P54" s="306"/>
      <x:c r="Q54" s="306"/>
    </x:row>
    <x:row r="55">
      <x:c r="A55" s="306"/>
      <x:c r="B55" s="306"/>
      <x:c r="C55" s="306"/>
      <x:c r="D55" s="306"/>
      <x:c r="E55" s="306"/>
      <x:c r="F55" s="306"/>
      <x:c r="G55" s="306"/>
      <x:c r="H55" s="306"/>
      <x:c r="I55" s="306"/>
      <x:c r="J55" s="306"/>
      <x:c r="K55" s="306"/>
      <x:c r="L55" s="306"/>
      <x:c r="M55" s="306"/>
      <x:c r="N55" s="306"/>
      <x:c r="O55" s="306"/>
      <x:c r="P55" s="306"/>
      <x:c r="Q55" s="306"/>
    </x:row>
    <x:row r="56">
      <x:c r="A56" s="306"/>
      <x:c r="B56" s="306"/>
      <x:c r="C56" s="306"/>
      <x:c r="D56" s="306"/>
      <x:c r="E56" s="306"/>
      <x:c r="F56" s="306"/>
      <x:c r="G56" s="306"/>
      <x:c r="H56" s="306"/>
      <x:c r="I56" s="306"/>
      <x:c r="J56" s="306"/>
      <x:c r="K56" s="306"/>
      <x:c r="L56" s="306"/>
      <x:c r="M56" s="306"/>
      <x:c r="N56" s="306"/>
      <x:c r="O56" s="306"/>
      <x:c r="P56" s="306"/>
      <x:c r="Q56" s="306"/>
    </x:row>
    <x:row r="57">
      <x:c r="A57" s="306"/>
      <x:c r="B57" s="306"/>
      <x:c r="C57" s="306"/>
      <x:c r="D57" s="306"/>
      <x:c r="E57" s="306"/>
      <x:c r="F57" s="306"/>
      <x:c r="G57" s="306"/>
      <x:c r="H57" s="306"/>
      <x:c r="I57" s="306"/>
      <x:c r="J57" s="306"/>
      <x:c r="K57" s="306"/>
      <x:c r="L57" s="306"/>
      <x:c r="M57" s="306"/>
      <x:c r="N57" s="306"/>
      <x:c r="O57" s="306"/>
      <x:c r="P57" s="306"/>
      <x:c r="Q57" s="306"/>
    </x:row>
    <x:row r="58">
      <x:c r="A58" s="306"/>
      <x:c r="B58" s="306"/>
      <x:c r="C58" s="306"/>
      <x:c r="D58" s="306"/>
      <x:c r="E58" s="306"/>
      <x:c r="F58" s="306"/>
      <x:c r="G58" s="306"/>
      <x:c r="H58" s="306"/>
      <x:c r="I58" s="306"/>
      <x:c r="J58" s="306"/>
      <x:c r="K58" s="306"/>
      <x:c r="L58" s="306"/>
      <x:c r="M58" s="306"/>
      <x:c r="N58" s="306"/>
      <x:c r="O58" s="306"/>
      <x:c r="P58" s="306"/>
      <x:c r="Q58" s="306"/>
    </x:row>
    <x:row r="59">
      <x:c r="A59" s="306"/>
      <x:c r="B59" s="306"/>
      <x:c r="C59" s="306"/>
      <x:c r="D59" s="306"/>
      <x:c r="E59" s="306"/>
      <x:c r="F59" s="306"/>
      <x:c r="G59" s="306"/>
      <x:c r="H59" s="306"/>
      <x:c r="I59" s="306"/>
      <x:c r="J59" s="306"/>
      <x:c r="K59" s="306"/>
      <x:c r="L59" s="306"/>
      <x:c r="M59" s="306"/>
      <x:c r="N59" s="306"/>
      <x:c r="O59" s="306"/>
      <x:c r="P59" s="306"/>
      <x:c r="Q59" s="306"/>
    </x:row>
    <x:row r="60">
      <x:c r="A60" s="306"/>
      <x:c r="B60" s="306"/>
      <x:c r="C60" s="306"/>
      <x:c r="D60" s="306"/>
      <x:c r="E60" s="306"/>
      <x:c r="F60" s="306"/>
      <x:c r="G60" s="306"/>
      <x:c r="H60" s="306"/>
      <x:c r="I60" s="306"/>
      <x:c r="J60" s="306"/>
      <x:c r="K60" s="306"/>
      <x:c r="L60" s="306"/>
      <x:c r="M60" s="306"/>
      <x:c r="N60" s="306"/>
      <x:c r="O60" s="306"/>
      <x:c r="P60" s="306"/>
      <x:c r="Q60" s="306"/>
    </x:row>
    <x:row r="61">
      <x:c r="A61" s="306"/>
      <x:c r="B61" s="306"/>
      <x:c r="C61" s="306"/>
      <x:c r="D61" s="306"/>
      <x:c r="E61" s="306"/>
      <x:c r="F61" s="306"/>
      <x:c r="G61" s="306"/>
      <x:c r="H61" s="306"/>
      <x:c r="I61" s="306"/>
      <x:c r="J61" s="306"/>
      <x:c r="K61" s="306"/>
      <x:c r="L61" s="306"/>
      <x:c r="M61" s="306"/>
      <x:c r="N61" s="306"/>
      <x:c r="O61" s="306"/>
      <x:c r="P61" s="306"/>
      <x:c r="Q61" s="306"/>
    </x:row>
    <x:row r="62">
      <x:c r="A62" s="306"/>
      <x:c r="B62" s="306"/>
      <x:c r="C62" s="306"/>
      <x:c r="D62" s="306"/>
      <x:c r="E62" s="306"/>
      <x:c r="F62" s="306"/>
      <x:c r="G62" s="306"/>
      <x:c r="H62" s="306"/>
      <x:c r="I62" s="306"/>
      <x:c r="J62" s="306"/>
      <x:c r="K62" s="306"/>
      <x:c r="L62" s="306"/>
      <x:c r="M62" s="306"/>
      <x:c r="N62" s="306"/>
      <x:c r="O62" s="306"/>
      <x:c r="P62" s="306"/>
      <x:c r="Q62" s="306"/>
    </x:row>
    <x:row r="63">
      <x:c r="A63" s="306"/>
      <x:c r="B63" s="306"/>
      <x:c r="C63" s="306"/>
      <x:c r="D63" s="306"/>
      <x:c r="E63" s="306"/>
      <x:c r="F63" s="306"/>
      <x:c r="G63" s="306"/>
      <x:c r="H63" s="306"/>
      <x:c r="I63" s="306"/>
      <x:c r="J63" s="306"/>
      <x:c r="K63" s="306"/>
      <x:c r="L63" s="306"/>
      <x:c r="M63" s="306"/>
      <x:c r="N63" s="306"/>
      <x:c r="O63" s="306"/>
      <x:c r="P63" s="306"/>
      <x:c r="Q63" s="306"/>
    </x:row>
    <x:row r="64">
      <x:c r="A64" s="306"/>
      <x:c r="B64" s="306"/>
      <x:c r="C64" s="306"/>
      <x:c r="D64" s="306"/>
      <x:c r="E64" s="306"/>
      <x:c r="F64" s="306"/>
      <x:c r="G64" s="306"/>
      <x:c r="H64" s="306"/>
      <x:c r="I64" s="306"/>
      <x:c r="J64" s="306"/>
      <x:c r="K64" s="306"/>
      <x:c r="L64" s="306"/>
      <x:c r="M64" s="306"/>
      <x:c r="N64" s="306"/>
      <x:c r="O64" s="306"/>
      <x:c r="P64" s="306"/>
      <x:c r="Q64" s="306"/>
    </x:row>
    <x:row r="65">
      <x:c r="A65" s="306"/>
      <x:c r="B65" s="306"/>
      <x:c r="C65" s="306"/>
      <x:c r="D65" s="306"/>
      <x:c r="E65" s="306"/>
      <x:c r="F65" s="306"/>
      <x:c r="G65" s="306"/>
      <x:c r="H65" s="306"/>
      <x:c r="I65" s="306"/>
      <x:c r="J65" s="306"/>
      <x:c r="K65" s="306"/>
      <x:c r="L65" s="306"/>
      <x:c r="M65" s="306"/>
      <x:c r="N65" s="306"/>
      <x:c r="O65" s="306"/>
      <x:c r="P65" s="306"/>
      <x:c r="Q65" s="306"/>
    </x:row>
    <x:row r="66">
      <x:c r="A66" s="306"/>
      <x:c r="B66" s="306"/>
      <x:c r="C66" s="306"/>
      <x:c r="D66" s="306"/>
      <x:c r="E66" s="306"/>
      <x:c r="F66" s="306"/>
      <x:c r="G66" s="306"/>
      <x:c r="H66" s="306"/>
      <x:c r="I66" s="306"/>
      <x:c r="J66" s="306"/>
      <x:c r="K66" s="306"/>
      <x:c r="L66" s="306"/>
      <x:c r="M66" s="306"/>
      <x:c r="N66" s="306"/>
      <x:c r="O66" s="306"/>
      <x:c r="P66" s="306"/>
      <x:c r="Q66" s="306"/>
    </x:row>
    <x:row r="67">
      <x:c r="A67" s="306"/>
      <x:c r="B67" s="306"/>
      <x:c r="C67" s="306"/>
      <x:c r="D67" s="306"/>
      <x:c r="E67" s="306"/>
      <x:c r="F67" s="306"/>
      <x:c r="G67" s="306"/>
      <x:c r="H67" s="306"/>
      <x:c r="I67" s="306"/>
      <x:c r="J67" s="306"/>
      <x:c r="K67" s="306"/>
      <x:c r="L67" s="306"/>
      <x:c r="M67" s="306"/>
      <x:c r="N67" s="306"/>
      <x:c r="O67" s="306"/>
      <x:c r="P67" s="306"/>
      <x:c r="Q67" s="306"/>
    </x:row>
    <x:row r="68">
      <x:c r="A68" s="306"/>
      <x:c r="B68" s="306"/>
      <x:c r="C68" s="306"/>
      <x:c r="D68" s="306"/>
      <x:c r="E68" s="306"/>
      <x:c r="F68" s="306"/>
      <x:c r="G68" s="306"/>
      <x:c r="H68" s="306"/>
      <x:c r="I68" s="306"/>
      <x:c r="J68" s="306"/>
      <x:c r="K68" s="306"/>
      <x:c r="L68" s="306"/>
      <x:c r="M68" s="306"/>
      <x:c r="N68" s="306"/>
      <x:c r="O68" s="306"/>
      <x:c r="P68" s="306"/>
      <x:c r="Q68" s="306"/>
    </x:row>
    <x:row r="69">
      <x:c r="A69" s="306"/>
      <x:c r="B69" s="306"/>
      <x:c r="C69" s="306"/>
      <x:c r="D69" s="306"/>
      <x:c r="E69" s="306"/>
      <x:c r="F69" s="306"/>
      <x:c r="G69" s="306"/>
      <x:c r="H69" s="306"/>
      <x:c r="I69" s="306"/>
      <x:c r="J69" s="306"/>
      <x:c r="K69" s="306"/>
      <x:c r="L69" s="306"/>
      <x:c r="M69" s="306"/>
      <x:c r="N69" s="306"/>
      <x:c r="O69" s="306"/>
      <x:c r="P69" s="306"/>
      <x:c r="Q69" s="306"/>
    </x:row>
    <x:row r="70">
      <x:c r="A70" s="306"/>
      <x:c r="B70" s="306"/>
      <x:c r="C70" s="306"/>
      <x:c r="D70" s="306"/>
      <x:c r="E70" s="306"/>
      <x:c r="F70" s="306"/>
      <x:c r="G70" s="306"/>
      <x:c r="H70" s="306"/>
      <x:c r="I70" s="306"/>
      <x:c r="J70" s="306"/>
      <x:c r="K70" s="306"/>
      <x:c r="L70" s="306"/>
      <x:c r="M70" s="306"/>
      <x:c r="N70" s="306"/>
      <x:c r="O70" s="306"/>
      <x:c r="P70" s="306"/>
      <x:c r="Q70" s="306"/>
    </x:row>
    <x:row r="71">
      <x:c r="A71" s="306"/>
      <x:c r="B71" s="306"/>
      <x:c r="C71" s="306"/>
      <x:c r="D71" s="306"/>
      <x:c r="E71" s="306"/>
      <x:c r="F71" s="306"/>
      <x:c r="G71" s="306"/>
      <x:c r="H71" s="306"/>
      <x:c r="I71" s="306"/>
      <x:c r="J71" s="306"/>
      <x:c r="K71" s="306"/>
      <x:c r="L71" s="306"/>
      <x:c r="M71" s="306"/>
      <x:c r="N71" s="306"/>
      <x:c r="O71" s="306"/>
      <x:c r="P71" s="306"/>
      <x:c r="Q71" s="306"/>
    </x:row>
    <x:row r="72">
      <x:c r="A72" s="306"/>
      <x:c r="B72" s="306"/>
      <x:c r="C72" s="306"/>
      <x:c r="D72" s="306"/>
      <x:c r="E72" s="306"/>
      <x:c r="F72" s="306"/>
      <x:c r="G72" s="306"/>
      <x:c r="H72" s="306"/>
      <x:c r="I72" s="306"/>
      <x:c r="J72" s="306"/>
      <x:c r="K72" s="306"/>
      <x:c r="L72" s="306"/>
      <x:c r="M72" s="306"/>
      <x:c r="N72" s="306"/>
      <x:c r="O72" s="306"/>
      <x:c r="P72" s="306"/>
      <x:c r="Q72" s="306"/>
    </x:row>
    <x:row r="73">
      <x:c r="A73" s="306"/>
      <x:c r="B73" s="306"/>
      <x:c r="C73" s="306"/>
      <x:c r="D73" s="306"/>
      <x:c r="E73" s="306"/>
      <x:c r="F73" s="306"/>
      <x:c r="G73" s="306"/>
      <x:c r="H73" s="306"/>
      <x:c r="I73" s="306"/>
      <x:c r="J73" s="306"/>
      <x:c r="K73" s="306"/>
      <x:c r="L73" s="306"/>
      <x:c r="M73" s="306"/>
      <x:c r="N73" s="306"/>
      <x:c r="O73" s="306"/>
      <x:c r="P73" s="306"/>
      <x:c r="Q73" s="306"/>
    </x:row>
    <x:row r="74">
      <x:c r="A74" s="306"/>
      <x:c r="B74" s="306"/>
      <x:c r="C74" s="306"/>
      <x:c r="D74" s="306"/>
      <x:c r="E74" s="306"/>
      <x:c r="F74" s="306"/>
      <x:c r="G74" s="306"/>
      <x:c r="H74" s="306"/>
      <x:c r="I74" s="306"/>
      <x:c r="J74" s="306"/>
      <x:c r="K74" s="306"/>
      <x:c r="L74" s="306"/>
      <x:c r="M74" s="306"/>
      <x:c r="N74" s="306"/>
      <x:c r="O74" s="306"/>
      <x:c r="P74" s="306"/>
      <x:c r="Q74" s="306"/>
    </x:row>
    <x:row r="75">
      <x:c r="A75" s="306"/>
      <x:c r="B75" s="306"/>
      <x:c r="C75" s="306"/>
      <x:c r="D75" s="306"/>
      <x:c r="E75" s="306"/>
      <x:c r="F75" s="306"/>
      <x:c r="G75" s="306"/>
      <x:c r="H75" s="306"/>
      <x:c r="I75" s="306"/>
      <x:c r="J75" s="306"/>
      <x:c r="K75" s="306"/>
      <x:c r="L75" s="306"/>
      <x:c r="M75" s="306"/>
      <x:c r="N75" s="306"/>
      <x:c r="O75" s="306"/>
      <x:c r="P75" s="306"/>
      <x:c r="Q75" s="306"/>
    </x:row>
    <x:row r="76">
      <x:c r="A76" s="306"/>
      <x:c r="B76" s="306"/>
      <x:c r="C76" s="306"/>
      <x:c r="D76" s="306"/>
      <x:c r="E76" s="306"/>
      <x:c r="F76" s="306"/>
      <x:c r="G76" s="306"/>
      <x:c r="H76" s="306"/>
      <x:c r="I76" s="306"/>
      <x:c r="J76" s="306"/>
      <x:c r="K76" s="306"/>
      <x:c r="L76" s="306"/>
      <x:c r="M76" s="306"/>
      <x:c r="N76" s="306"/>
      <x:c r="O76" s="306"/>
      <x:c r="P76" s="306"/>
      <x:c r="Q76" s="306"/>
    </x:row>
    <x:row r="77">
      <x:c r="A77" s="306"/>
      <x:c r="B77" s="306"/>
      <x:c r="C77" s="306"/>
      <x:c r="D77" s="306"/>
      <x:c r="E77" s="306"/>
      <x:c r="F77" s="306"/>
      <x:c r="G77" s="306"/>
      <x:c r="H77" s="306"/>
      <x:c r="I77" s="306"/>
      <x:c r="J77" s="306"/>
      <x:c r="K77" s="306"/>
      <x:c r="L77" s="306"/>
      <x:c r="M77" s="306"/>
      <x:c r="N77" s="306"/>
      <x:c r="O77" s="306"/>
      <x:c r="P77" s="306"/>
      <x:c r="Q77" s="306"/>
    </x:row>
    <x:row r="78">
      <x:c r="A78" s="306"/>
      <x:c r="B78" s="306"/>
      <x:c r="C78" s="306"/>
      <x:c r="D78" s="306"/>
      <x:c r="E78" s="306"/>
      <x:c r="F78" s="306"/>
      <x:c r="G78" s="306"/>
      <x:c r="H78" s="306"/>
      <x:c r="I78" s="306"/>
      <x:c r="J78" s="306"/>
      <x:c r="K78" s="306"/>
      <x:c r="L78" s="306"/>
      <x:c r="M78" s="306"/>
      <x:c r="N78" s="306"/>
      <x:c r="O78" s="306"/>
      <x:c r="P78" s="306"/>
      <x:c r="Q78" s="306"/>
    </x:row>
    <x:row r="79">
      <x:c r="A79" s="306"/>
      <x:c r="B79" s="306"/>
      <x:c r="C79" s="306"/>
      <x:c r="D79" s="306"/>
      <x:c r="E79" s="306"/>
      <x:c r="F79" s="306"/>
      <x:c r="G79" s="306"/>
      <x:c r="H79" s="306"/>
      <x:c r="I79" s="306"/>
      <x:c r="J79" s="306"/>
      <x:c r="K79" s="306"/>
      <x:c r="L79" s="306"/>
      <x:c r="M79" s="306"/>
      <x:c r="N79" s="306"/>
      <x:c r="O79" s="306"/>
      <x:c r="P79" s="306"/>
      <x:c r="Q79" s="306"/>
    </x:row>
    <x:row r="80">
      <x:c r="A80" s="306"/>
      <x:c r="B80" s="306"/>
      <x:c r="C80" s="306"/>
      <x:c r="D80" s="306"/>
      <x:c r="E80" s="306"/>
      <x:c r="F80" s="306"/>
      <x:c r="G80" s="306"/>
      <x:c r="H80" s="306"/>
      <x:c r="I80" s="306"/>
      <x:c r="J80" s="306"/>
      <x:c r="K80" s="306"/>
      <x:c r="L80" s="306"/>
      <x:c r="M80" s="306"/>
      <x:c r="N80" s="306"/>
      <x:c r="O80" s="306"/>
      <x:c r="P80" s="306"/>
      <x:c r="Q80" s="306"/>
    </x:row>
    <x:row r="81">
      <x:c r="A81" s="306"/>
      <x:c r="B81" s="306"/>
      <x:c r="C81" s="306"/>
      <x:c r="D81" s="306"/>
      <x:c r="E81" s="306"/>
      <x:c r="F81" s="306"/>
      <x:c r="G81" s="306"/>
      <x:c r="H81" s="306"/>
      <x:c r="I81" s="306"/>
      <x:c r="J81" s="306"/>
      <x:c r="K81" s="306"/>
      <x:c r="L81" s="306"/>
      <x:c r="M81" s="306"/>
      <x:c r="N81" s="306"/>
      <x:c r="O81" s="306"/>
      <x:c r="P81" s="306"/>
      <x:c r="Q81" s="306"/>
    </x:row>
    <x:row r="82">
      <x:c r="A82" s="306"/>
      <x:c r="B82" s="306"/>
      <x:c r="C82" s="306"/>
      <x:c r="D82" s="306"/>
      <x:c r="E82" s="306"/>
      <x:c r="F82" s="306"/>
      <x:c r="G82" s="306"/>
      <x:c r="H82" s="306"/>
      <x:c r="I82" s="306"/>
      <x:c r="J82" s="306"/>
      <x:c r="K82" s="306"/>
      <x:c r="L82" s="306"/>
      <x:c r="M82" s="306"/>
      <x:c r="N82" s="306"/>
      <x:c r="O82" s="306"/>
      <x:c r="P82" s="306"/>
      <x:c r="Q82" s="306"/>
    </x:row>
    <x:row r="83">
      <x:c r="A83" s="306"/>
      <x:c r="B83" s="306"/>
      <x:c r="C83" s="306"/>
      <x:c r="D83" s="306"/>
      <x:c r="E83" s="306"/>
      <x:c r="F83" s="306"/>
      <x:c r="G83" s="306"/>
      <x:c r="H83" s="306"/>
      <x:c r="I83" s="306"/>
      <x:c r="J83" s="306"/>
      <x:c r="K83" s="306"/>
      <x:c r="L83" s="306"/>
      <x:c r="M83" s="306"/>
      <x:c r="N83" s="306"/>
      <x:c r="O83" s="306"/>
      <x:c r="P83" s="306"/>
      <x:c r="Q83" s="306"/>
    </x:row>
    <x:row r="84">
      <x:c r="A84" s="306"/>
      <x:c r="B84" s="306"/>
      <x:c r="C84" s="306"/>
      <x:c r="D84" s="306"/>
      <x:c r="E84" s="306"/>
      <x:c r="F84" s="306"/>
      <x:c r="G84" s="306"/>
      <x:c r="H84" s="306"/>
      <x:c r="I84" s="306"/>
      <x:c r="J84" s="306"/>
      <x:c r="K84" s="306"/>
      <x:c r="L84" s="306"/>
      <x:c r="M84" s="306"/>
      <x:c r="N84" s="306"/>
      <x:c r="O84" s="306"/>
      <x:c r="P84" s="306"/>
      <x:c r="Q84" s="306"/>
    </x:row>
    <x:row r="85">
      <x:c r="A85" s="306"/>
      <x:c r="B85" s="306"/>
      <x:c r="C85" s="306"/>
      <x:c r="D85" s="306"/>
      <x:c r="E85" s="306"/>
      <x:c r="F85" s="306"/>
      <x:c r="G85" s="306"/>
      <x:c r="H85" s="306"/>
      <x:c r="I85" s="306"/>
      <x:c r="J85" s="306"/>
      <x:c r="K85" s="306"/>
      <x:c r="L85" s="306"/>
      <x:c r="M85" s="306"/>
      <x:c r="N85" s="306"/>
      <x:c r="O85" s="306"/>
      <x:c r="P85" s="306"/>
      <x:c r="Q85" s="306"/>
    </x:row>
    <x:row r="86">
      <x:c r="A86" s="306"/>
      <x:c r="B86" s="306"/>
      <x:c r="C86" s="306"/>
      <x:c r="D86" s="306"/>
      <x:c r="E86" s="306"/>
      <x:c r="F86" s="306"/>
      <x:c r="G86" s="306"/>
      <x:c r="H86" s="306"/>
      <x:c r="I86" s="306"/>
      <x:c r="J86" s="306"/>
      <x:c r="K86" s="306"/>
      <x:c r="L86" s="306"/>
      <x:c r="M86" s="306"/>
      <x:c r="N86" s="306"/>
      <x:c r="O86" s="306"/>
      <x:c r="P86" s="306"/>
      <x:c r="Q86" s="306"/>
    </x:row>
    <x:row r="87">
      <x:c r="A87" s="306"/>
      <x:c r="B87" s="306"/>
      <x:c r="C87" s="306"/>
      <x:c r="D87" s="306"/>
      <x:c r="E87" s="306"/>
      <x:c r="F87" s="306"/>
      <x:c r="G87" s="306"/>
      <x:c r="H87" s="306"/>
      <x:c r="I87" s="306"/>
      <x:c r="J87" s="306"/>
      <x:c r="K87" s="306"/>
      <x:c r="L87" s="306"/>
      <x:c r="M87" s="306"/>
      <x:c r="N87" s="306"/>
      <x:c r="O87" s="306"/>
      <x:c r="P87" s="306"/>
      <x:c r="Q87" s="306"/>
    </x:row>
    <x:row r="88">
      <x:c r="A88" s="306"/>
      <x:c r="B88" s="306"/>
      <x:c r="C88" s="306"/>
      <x:c r="D88" s="306"/>
      <x:c r="E88" s="306"/>
      <x:c r="F88" s="306"/>
      <x:c r="G88" s="306"/>
      <x:c r="H88" s="306"/>
      <x:c r="I88" s="306"/>
      <x:c r="J88" s="306"/>
      <x:c r="K88" s="306"/>
      <x:c r="L88" s="306"/>
      <x:c r="M88" s="306"/>
      <x:c r="N88" s="306"/>
      <x:c r="O88" s="306"/>
      <x:c r="P88" s="306"/>
      <x:c r="Q88" s="306"/>
    </x:row>
    <x:row r="89">
      <x:c r="A89" s="306"/>
      <x:c r="B89" s="306"/>
      <x:c r="C89" s="306"/>
      <x:c r="D89" s="306"/>
      <x:c r="E89" s="306"/>
      <x:c r="F89" s="306"/>
      <x:c r="G89" s="306"/>
      <x:c r="H89" s="306"/>
      <x:c r="I89" s="306"/>
      <x:c r="J89" s="306"/>
      <x:c r="K89" s="306"/>
      <x:c r="L89" s="306"/>
      <x:c r="M89" s="306"/>
      <x:c r="N89" s="306"/>
      <x:c r="O89" s="306"/>
      <x:c r="P89" s="306"/>
      <x:c r="Q89" s="306"/>
    </x:row>
    <x:row r="90">
      <x:c r="A90" s="306"/>
      <x:c r="B90" s="306"/>
      <x:c r="C90" s="306"/>
      <x:c r="D90" s="306"/>
      <x:c r="E90" s="306"/>
      <x:c r="F90" s="306"/>
      <x:c r="G90" s="306"/>
      <x:c r="H90" s="306"/>
      <x:c r="I90" s="306"/>
      <x:c r="J90" s="306"/>
      <x:c r="K90" s="306"/>
      <x:c r="L90" s="306"/>
      <x:c r="M90" s="306"/>
      <x:c r="N90" s="306"/>
      <x:c r="O90" s="306"/>
      <x:c r="P90" s="306"/>
      <x:c r="Q90" s="306"/>
    </x:row>
    <x:row r="91">
      <x:c r="A91" s="306"/>
      <x:c r="B91" s="306"/>
      <x:c r="C91" s="306"/>
      <x:c r="D91" s="306"/>
      <x:c r="E91" s="306"/>
      <x:c r="F91" s="306"/>
      <x:c r="G91" s="306"/>
      <x:c r="H91" s="306"/>
      <x:c r="I91" s="306"/>
      <x:c r="J91" s="306"/>
      <x:c r="K91" s="306"/>
      <x:c r="L91" s="306"/>
      <x:c r="M91" s="306"/>
      <x:c r="N91" s="306"/>
      <x:c r="O91" s="306"/>
      <x:c r="P91" s="306"/>
      <x:c r="Q91" s="306"/>
    </x:row>
    <x:row r="92">
      <x:c r="A92" s="306"/>
      <x:c r="B92" s="306"/>
      <x:c r="C92" s="306"/>
      <x:c r="D92" s="306"/>
      <x:c r="E92" s="306"/>
      <x:c r="F92" s="306"/>
      <x:c r="G92" s="306"/>
      <x:c r="H92" s="306"/>
      <x:c r="I92" s="306"/>
      <x:c r="J92" s="306"/>
      <x:c r="K92" s="306"/>
      <x:c r="L92" s="306"/>
      <x:c r="M92" s="306"/>
      <x:c r="N92" s="306"/>
      <x:c r="O92" s="306"/>
      <x:c r="P92" s="306"/>
      <x:c r="Q92" s="306"/>
    </x:row>
    <x:row r="93">
      <x:c r="A93" s="306"/>
      <x:c r="B93" s="306"/>
      <x:c r="C93" s="306"/>
      <x:c r="D93" s="306"/>
      <x:c r="E93" s="306"/>
      <x:c r="F93" s="306"/>
      <x:c r="G93" s="306"/>
      <x:c r="H93" s="306"/>
      <x:c r="I93" s="306"/>
      <x:c r="J93" s="306"/>
      <x:c r="K93" s="306"/>
      <x:c r="L93" s="306"/>
      <x:c r="M93" s="306"/>
      <x:c r="N93" s="306"/>
      <x:c r="O93" s="306"/>
      <x:c r="P93" s="306"/>
      <x:c r="Q93" s="306"/>
    </x:row>
    <x:row r="94">
      <x:c r="A94" s="306"/>
      <x:c r="B94" s="306"/>
      <x:c r="C94" s="306"/>
      <x:c r="D94" s="306"/>
      <x:c r="E94" s="306"/>
      <x:c r="F94" s="306"/>
      <x:c r="G94" s="306"/>
      <x:c r="H94" s="306"/>
      <x:c r="I94" s="306"/>
      <x:c r="J94" s="306"/>
      <x:c r="K94" s="306"/>
      <x:c r="L94" s="306"/>
      <x:c r="M94" s="306"/>
      <x:c r="N94" s="306"/>
      <x:c r="O94" s="306"/>
      <x:c r="P94" s="306"/>
      <x:c r="Q94" s="306"/>
    </x:row>
    <x:row r="95">
      <x:c r="A95" s="306"/>
      <x:c r="B95" s="306"/>
      <x:c r="C95" s="306"/>
      <x:c r="D95" s="306"/>
      <x:c r="E95" s="306"/>
      <x:c r="F95" s="306"/>
      <x:c r="G95" s="306"/>
      <x:c r="H95" s="306"/>
      <x:c r="I95" s="306"/>
      <x:c r="J95" s="306"/>
      <x:c r="K95" s="306"/>
      <x:c r="L95" s="306"/>
      <x:c r="M95" s="306"/>
      <x:c r="N95" s="306"/>
      <x:c r="O95" s="306"/>
      <x:c r="P95" s="306"/>
      <x:c r="Q95" s="306"/>
    </x:row>
    <x:row r="96">
      <x:c r="A96" s="306"/>
      <x:c r="B96" s="306"/>
      <x:c r="C96" s="306"/>
      <x:c r="D96" s="306"/>
      <x:c r="E96" s="306"/>
      <x:c r="F96" s="306"/>
      <x:c r="G96" s="306"/>
      <x:c r="H96" s="306"/>
      <x:c r="I96" s="306"/>
      <x:c r="J96" s="306"/>
      <x:c r="K96" s="306"/>
      <x:c r="L96" s="306"/>
      <x:c r="M96" s="306"/>
      <x:c r="N96" s="306"/>
      <x:c r="O96" s="306"/>
      <x:c r="P96" s="306"/>
      <x:c r="Q96" s="306"/>
    </x:row>
    <x:row r="97">
      <x:c r="A97" s="306"/>
      <x:c r="B97" s="306"/>
      <x:c r="C97" s="306"/>
      <x:c r="D97" s="306"/>
      <x:c r="E97" s="306"/>
      <x:c r="F97" s="306"/>
      <x:c r="G97" s="306"/>
      <x:c r="H97" s="306"/>
      <x:c r="I97" s="306"/>
      <x:c r="J97" s="306"/>
      <x:c r="K97" s="306"/>
      <x:c r="L97" s="306"/>
      <x:c r="M97" s="306"/>
      <x:c r="N97" s="306"/>
      <x:c r="O97" s="306"/>
      <x:c r="P97" s="306"/>
      <x:c r="Q97" s="306"/>
    </x:row>
    <x:row r="98">
      <x:c r="A98" s="306"/>
      <x:c r="B98" s="306"/>
      <x:c r="C98" s="306"/>
      <x:c r="D98" s="306"/>
      <x:c r="E98" s="306"/>
      <x:c r="F98" s="306"/>
      <x:c r="G98" s="306"/>
      <x:c r="H98" s="306"/>
      <x:c r="I98" s="306"/>
      <x:c r="J98" s="306"/>
      <x:c r="K98" s="306"/>
      <x:c r="L98" s="306"/>
      <x:c r="M98" s="306"/>
      <x:c r="N98" s="306"/>
      <x:c r="O98" s="306"/>
      <x:c r="P98" s="306"/>
      <x:c r="Q98" s="306"/>
    </x:row>
    <x:row r="99">
      <x:c r="A99" s="306"/>
      <x:c r="B99" s="306"/>
      <x:c r="C99" s="306"/>
      <x:c r="D99" s="306"/>
      <x:c r="E99" s="306"/>
      <x:c r="F99" s="306"/>
      <x:c r="G99" s="306"/>
      <x:c r="H99" s="306"/>
      <x:c r="I99" s="306"/>
      <x:c r="J99" s="306"/>
      <x:c r="K99" s="306"/>
      <x:c r="L99" s="306"/>
      <x:c r="M99" s="306"/>
      <x:c r="N99" s="306"/>
      <x:c r="O99" s="306"/>
      <x:c r="P99" s="306"/>
      <x:c r="Q99" s="306"/>
    </x:row>
    <x:row r="100">
      <x:c r="A100" s="306"/>
      <x:c r="B100" s="306"/>
      <x:c r="C100" s="306"/>
      <x:c r="D100" s="306"/>
      <x:c r="E100" s="306"/>
      <x:c r="F100" s="306"/>
      <x:c r="G100" s="306"/>
      <x:c r="H100" s="306"/>
      <x:c r="I100" s="306"/>
      <x:c r="J100" s="306"/>
      <x:c r="K100" s="306"/>
      <x:c r="L100" s="306"/>
      <x:c r="M100" s="306"/>
      <x:c r="N100" s="306"/>
      <x:c r="O100" s="306"/>
      <x:c r="P100" s="306"/>
      <x:c r="Q100" s="306"/>
    </x:row>
    <x:row r="101">
      <x:c r="A101" s="306"/>
      <x:c r="B101" s="306"/>
      <x:c r="C101" s="306"/>
      <x:c r="D101" s="306"/>
      <x:c r="E101" s="306"/>
      <x:c r="F101" s="306"/>
      <x:c r="G101" s="306"/>
      <x:c r="H101" s="306"/>
      <x:c r="I101" s="306"/>
      <x:c r="J101" s="306"/>
      <x:c r="K101" s="306"/>
      <x:c r="L101" s="306"/>
      <x:c r="M101" s="306"/>
      <x:c r="N101" s="306"/>
      <x:c r="O101" s="306"/>
      <x:c r="P101" s="306"/>
      <x:c r="Q101" s="306"/>
    </x:row>
    <x:row r="102">
      <x:c r="A102" s="306"/>
      <x:c r="B102" s="306"/>
      <x:c r="C102" s="306"/>
      <x:c r="D102" s="306"/>
      <x:c r="E102" s="306"/>
      <x:c r="F102" s="306"/>
      <x:c r="G102" s="306"/>
      <x:c r="H102" s="306"/>
      <x:c r="I102" s="306"/>
      <x:c r="J102" s="306"/>
      <x:c r="K102" s="306"/>
      <x:c r="L102" s="306"/>
      <x:c r="M102" s="306"/>
      <x:c r="N102" s="306"/>
      <x:c r="O102" s="306"/>
      <x:c r="P102" s="306"/>
      <x:c r="Q102" s="306"/>
    </x:row>
    <x:row r="103">
      <x:c r="A103" s="306"/>
      <x:c r="B103" s="306"/>
      <x:c r="C103" s="306"/>
      <x:c r="D103" s="306"/>
      <x:c r="E103" s="306"/>
      <x:c r="F103" s="306"/>
      <x:c r="G103" s="306"/>
      <x:c r="H103" s="306"/>
      <x:c r="I103" s="306"/>
      <x:c r="J103" s="306"/>
      <x:c r="K103" s="306"/>
      <x:c r="L103" s="306"/>
      <x:c r="M103" s="306"/>
      <x:c r="N103" s="306"/>
      <x:c r="O103" s="306"/>
      <x:c r="P103" s="306"/>
      <x:c r="Q103" s="306"/>
    </x:row>
    <x:row r="104">
      <x:c r="A104" s="306"/>
      <x:c r="B104" s="306"/>
      <x:c r="C104" s="306"/>
      <x:c r="D104" s="306"/>
      <x:c r="E104" s="306"/>
      <x:c r="F104" s="306"/>
      <x:c r="G104" s="306"/>
      <x:c r="H104" s="306"/>
      <x:c r="I104" s="306"/>
      <x:c r="J104" s="306"/>
      <x:c r="K104" s="306"/>
      <x:c r="L104" s="306"/>
      <x:c r="M104" s="306"/>
      <x:c r="N104" s="306"/>
      <x:c r="O104" s="306"/>
      <x:c r="P104" s="306"/>
      <x:c r="Q104" s="306"/>
    </x:row>
    <x:row r="105">
      <x:c r="A105" s="306"/>
      <x:c r="B105" s="306"/>
      <x:c r="C105" s="306"/>
      <x:c r="D105" s="306"/>
      <x:c r="E105" s="306"/>
      <x:c r="F105" s="306"/>
      <x:c r="G105" s="306"/>
      <x:c r="H105" s="306"/>
      <x:c r="I105" s="306"/>
      <x:c r="J105" s="306"/>
      <x:c r="K105" s="306"/>
      <x:c r="L105" s="306"/>
      <x:c r="M105" s="306"/>
      <x:c r="N105" s="306"/>
      <x:c r="O105" s="306"/>
      <x:c r="P105" s="306"/>
      <x:c r="Q105" s="306"/>
    </x:row>
    <x:row r="106">
      <x:c r="A106" s="306"/>
      <x:c r="B106" s="306"/>
      <x:c r="C106" s="306"/>
      <x:c r="D106" s="306"/>
      <x:c r="E106" s="306"/>
      <x:c r="F106" s="306"/>
      <x:c r="G106" s="306"/>
      <x:c r="H106" s="306"/>
      <x:c r="I106" s="306"/>
      <x:c r="J106" s="306"/>
      <x:c r="K106" s="306"/>
      <x:c r="L106" s="306"/>
      <x:c r="M106" s="306"/>
      <x:c r="N106" s="306"/>
      <x:c r="O106" s="306"/>
      <x:c r="P106" s="306"/>
      <x:c r="Q106" s="306"/>
    </x:row>
    <x:row r="107">
      <x:c r="A107" s="306"/>
      <x:c r="B107" s="306"/>
      <x:c r="C107" s="306"/>
      <x:c r="D107" s="306"/>
      <x:c r="E107" s="306"/>
      <x:c r="F107" s="306"/>
      <x:c r="G107" s="306"/>
      <x:c r="H107" s="306"/>
      <x:c r="I107" s="306"/>
      <x:c r="J107" s="306"/>
      <x:c r="K107" s="306"/>
      <x:c r="L107" s="306"/>
      <x:c r="M107" s="306"/>
      <x:c r="N107" s="306"/>
      <x:c r="O107" s="306"/>
      <x:c r="P107" s="306"/>
      <x:c r="Q107" s="306"/>
    </x:row>
    <x:row r="108">
      <x:c r="A108" s="306"/>
      <x:c r="B108" s="306"/>
      <x:c r="C108" s="306"/>
      <x:c r="D108" s="306"/>
      <x:c r="E108" s="306"/>
      <x:c r="F108" s="306"/>
      <x:c r="G108" s="306"/>
      <x:c r="H108" s="306"/>
      <x:c r="I108" s="306"/>
      <x:c r="J108" s="306"/>
      <x:c r="K108" s="306"/>
      <x:c r="L108" s="306"/>
      <x:c r="M108" s="306"/>
      <x:c r="N108" s="306"/>
      <x:c r="O108" s="306"/>
      <x:c r="P108" s="306"/>
      <x:c r="Q108" s="306"/>
    </x:row>
    <x:row r="109">
      <x:c r="A109" s="306"/>
      <x:c r="B109" s="306"/>
      <x:c r="C109" s="306"/>
      <x:c r="D109" s="306"/>
      <x:c r="E109" s="306"/>
      <x:c r="F109" s="306"/>
      <x:c r="G109" s="306"/>
      <x:c r="H109" s="306"/>
      <x:c r="I109" s="306"/>
      <x:c r="J109" s="306"/>
      <x:c r="K109" s="306"/>
      <x:c r="L109" s="306"/>
      <x:c r="M109" s="306"/>
      <x:c r="N109" s="306"/>
      <x:c r="O109" s="306"/>
      <x:c r="P109" s="306"/>
      <x:c r="Q109" s="306"/>
    </x:row>
    <x:row r="110">
      <x:c r="A110" s="306"/>
      <x:c r="B110" s="306"/>
      <x:c r="C110" s="306"/>
      <x:c r="D110" s="306"/>
      <x:c r="E110" s="306"/>
      <x:c r="F110" s="306"/>
      <x:c r="G110" s="306"/>
      <x:c r="H110" s="306"/>
      <x:c r="I110" s="306"/>
      <x:c r="J110" s="306"/>
      <x:c r="K110" s="306"/>
      <x:c r="L110" s="306"/>
      <x:c r="M110" s="306"/>
      <x:c r="N110" s="306"/>
      <x:c r="O110" s="306"/>
      <x:c r="P110" s="306"/>
      <x:c r="Q110" s="306"/>
    </x:row>
    <x:row r="111">
      <x:c r="A111" s="306"/>
      <x:c r="B111" s="306"/>
      <x:c r="C111" s="306"/>
      <x:c r="D111" s="306"/>
      <x:c r="E111" s="306"/>
      <x:c r="F111" s="306"/>
      <x:c r="G111" s="306"/>
      <x:c r="H111" s="306"/>
      <x:c r="I111" s="306"/>
      <x:c r="J111" s="306"/>
      <x:c r="K111" s="306"/>
      <x:c r="L111" s="306"/>
      <x:c r="M111" s="306"/>
      <x:c r="N111" s="306"/>
      <x:c r="O111" s="306"/>
      <x:c r="P111" s="306"/>
      <x:c r="Q111" s="306"/>
    </x:row>
    <x:row r="112">
      <x:c r="A112" s="306"/>
      <x:c r="B112" s="306"/>
      <x:c r="C112" s="306"/>
      <x:c r="D112" s="306"/>
      <x:c r="E112" s="306"/>
      <x:c r="F112" s="306"/>
      <x:c r="G112" s="306"/>
      <x:c r="H112" s="306"/>
      <x:c r="I112" s="306"/>
      <x:c r="J112" s="306"/>
      <x:c r="K112" s="306"/>
      <x:c r="L112" s="306"/>
      <x:c r="M112" s="306"/>
      <x:c r="N112" s="306"/>
      <x:c r="O112" s="306"/>
      <x:c r="P112" s="306"/>
      <x:c r="Q112" s="306"/>
    </x:row>
    <x:row r="113">
      <x:c r="A113" s="306"/>
      <x:c r="B113" s="306"/>
      <x:c r="C113" s="306"/>
      <x:c r="D113" s="306"/>
      <x:c r="E113" s="306"/>
      <x:c r="F113" s="306"/>
      <x:c r="G113" s="306"/>
      <x:c r="H113" s="306"/>
      <x:c r="I113" s="306"/>
      <x:c r="J113" s="306"/>
      <x:c r="K113" s="306"/>
      <x:c r="L113" s="306"/>
      <x:c r="M113" s="306"/>
      <x:c r="N113" s="306"/>
      <x:c r="O113" s="306"/>
      <x:c r="P113" s="306"/>
      <x:c r="Q113" s="306"/>
    </x:row>
    <x:row r="114">
      <x:c r="A114" s="306"/>
      <x:c r="B114" s="306"/>
      <x:c r="C114" s="306"/>
      <x:c r="D114" s="306"/>
      <x:c r="E114" s="306"/>
      <x:c r="F114" s="306"/>
      <x:c r="G114" s="306"/>
      <x:c r="H114" s="306"/>
      <x:c r="I114" s="306"/>
      <x:c r="J114" s="306"/>
      <x:c r="K114" s="306"/>
      <x:c r="L114" s="306"/>
      <x:c r="M114" s="306"/>
      <x:c r="N114" s="306"/>
      <x:c r="O114" s="306"/>
      <x:c r="P114" s="306"/>
      <x:c r="Q114" s="306"/>
    </x:row>
    <x:row r="115">
      <x:c r="A115" s="306"/>
      <x:c r="B115" s="306"/>
      <x:c r="C115" s="306"/>
      <x:c r="D115" s="306"/>
      <x:c r="E115" s="306"/>
      <x:c r="F115" s="306"/>
      <x:c r="G115" s="306"/>
      <x:c r="H115" s="306"/>
      <x:c r="I115" s="306"/>
      <x:c r="J115" s="306"/>
      <x:c r="K115" s="306"/>
      <x:c r="L115" s="306"/>
      <x:c r="M115" s="306"/>
      <x:c r="N115" s="306"/>
      <x:c r="O115" s="306"/>
      <x:c r="P115" s="306"/>
      <x:c r="Q115" s="306"/>
    </x:row>
    <x:row r="116">
      <x:c r="A116" s="306"/>
      <x:c r="B116" s="306"/>
      <x:c r="C116" s="306"/>
      <x:c r="D116" s="306"/>
      <x:c r="E116" s="306"/>
      <x:c r="F116" s="306"/>
      <x:c r="G116" s="306"/>
      <x:c r="H116" s="306"/>
      <x:c r="I116" s="306"/>
      <x:c r="J116" s="306"/>
      <x:c r="K116" s="306"/>
      <x:c r="L116" s="306"/>
      <x:c r="M116" s="306"/>
      <x:c r="N116" s="306"/>
      <x:c r="O116" s="306"/>
      <x:c r="P116" s="306"/>
      <x:c r="Q116" s="306"/>
    </x:row>
    <x:row r="117">
      <x:c r="A117" s="306"/>
      <x:c r="B117" s="306"/>
      <x:c r="C117" s="306"/>
      <x:c r="D117" s="306"/>
      <x:c r="E117" s="306"/>
      <x:c r="F117" s="306"/>
      <x:c r="G117" s="306"/>
      <x:c r="H117" s="306"/>
      <x:c r="I117" s="306"/>
      <x:c r="J117" s="306"/>
      <x:c r="K117" s="306"/>
      <x:c r="L117" s="306"/>
      <x:c r="M117" s="306"/>
      <x:c r="N117" s="306"/>
      <x:c r="O117" s="306"/>
      <x:c r="P117" s="306"/>
      <x:c r="Q117" s="306"/>
    </x:row>
    <x:row r="118">
      <x:c r="A118" s="306"/>
      <x:c r="B118" s="306"/>
      <x:c r="C118" s="306"/>
      <x:c r="D118" s="306"/>
      <x:c r="E118" s="306"/>
      <x:c r="F118" s="306"/>
      <x:c r="G118" s="306"/>
      <x:c r="H118" s="306"/>
      <x:c r="I118" s="306"/>
      <x:c r="J118" s="306"/>
      <x:c r="K118" s="306"/>
      <x:c r="L118" s="306"/>
      <x:c r="M118" s="306"/>
      <x:c r="N118" s="306"/>
      <x:c r="O118" s="306"/>
      <x:c r="P118" s="306"/>
      <x:c r="Q118" s="306"/>
    </x:row>
    <x:row r="119">
      <x:c r="A119" s="306"/>
      <x:c r="B119" s="306"/>
      <x:c r="C119" s="306"/>
      <x:c r="D119" s="306"/>
      <x:c r="E119" s="306"/>
      <x:c r="F119" s="306"/>
      <x:c r="G119" s="306"/>
      <x:c r="H119" s="306"/>
      <x:c r="I119" s="306"/>
      <x:c r="J119" s="306"/>
      <x:c r="K119" s="306"/>
      <x:c r="L119" s="306"/>
      <x:c r="M119" s="306"/>
      <x:c r="N119" s="306"/>
      <x:c r="O119" s="306"/>
      <x:c r="P119" s="306"/>
      <x:c r="Q119" s="306"/>
    </x:row>
    <x:row r="120">
      <x:c r="A120" s="306"/>
      <x:c r="B120" s="306"/>
      <x:c r="C120" s="306"/>
      <x:c r="D120" s="306"/>
      <x:c r="E120" s="306"/>
      <x:c r="F120" s="306"/>
      <x:c r="G120" s="306"/>
      <x:c r="H120" s="306"/>
      <x:c r="I120" s="306"/>
      <x:c r="J120" s="306"/>
      <x:c r="K120" s="306"/>
      <x:c r="L120" s="306"/>
      <x:c r="M120" s="306"/>
      <x:c r="N120" s="306"/>
      <x:c r="O120" s="306"/>
      <x:c r="P120" s="306"/>
      <x:c r="Q120" s="306"/>
    </x:row>
    <x:row r="121">
      <x:c r="A121" s="306"/>
      <x:c r="B121" s="306"/>
      <x:c r="C121" s="306"/>
      <x:c r="D121" s="306"/>
      <x:c r="E121" s="306"/>
      <x:c r="F121" s="306"/>
      <x:c r="G121" s="306"/>
      <x:c r="H121" s="306"/>
      <x:c r="I121" s="306"/>
      <x:c r="J121" s="306"/>
      <x:c r="K121" s="306"/>
      <x:c r="L121" s="306"/>
      <x:c r="M121" s="306"/>
      <x:c r="N121" s="306"/>
      <x:c r="O121" s="306"/>
      <x:c r="P121" s="306"/>
      <x:c r="Q121" s="306"/>
    </x:row>
    <x:row r="122">
      <x:c r="A122" s="306"/>
      <x:c r="B122" s="306"/>
      <x:c r="C122" s="306"/>
      <x:c r="D122" s="306"/>
      <x:c r="E122" s="306"/>
      <x:c r="F122" s="306"/>
      <x:c r="G122" s="306"/>
      <x:c r="H122" s="306"/>
      <x:c r="I122" s="306"/>
      <x:c r="J122" s="306"/>
      <x:c r="K122" s="306"/>
      <x:c r="L122" s="306"/>
      <x:c r="M122" s="306"/>
      <x:c r="N122" s="306"/>
      <x:c r="O122" s="306"/>
      <x:c r="P122" s="306"/>
      <x:c r="Q122" s="306"/>
    </x:row>
    <x:row r="123">
      <x:c r="A123" s="306"/>
      <x:c r="B123" s="306"/>
      <x:c r="C123" s="306"/>
      <x:c r="D123" s="306"/>
      <x:c r="E123" s="306"/>
      <x:c r="F123" s="306"/>
      <x:c r="G123" s="306"/>
      <x:c r="H123" s="306"/>
      <x:c r="I123" s="306"/>
      <x:c r="J123" s="306"/>
      <x:c r="K123" s="306"/>
      <x:c r="L123" s="306"/>
      <x:c r="M123" s="306"/>
      <x:c r="N123" s="306"/>
      <x:c r="O123" s="306"/>
      <x:c r="P123" s="306"/>
      <x:c r="Q123" s="306"/>
    </x:row>
    <x:row r="124">
      <x:c r="A124" s="306"/>
      <x:c r="B124" s="306"/>
      <x:c r="C124" s="306"/>
      <x:c r="D124" s="306"/>
      <x:c r="E124" s="306"/>
      <x:c r="F124" s="306"/>
      <x:c r="G124" s="306"/>
      <x:c r="H124" s="306"/>
      <x:c r="I124" s="306"/>
      <x:c r="J124" s="306"/>
      <x:c r="K124" s="306"/>
      <x:c r="L124" s="306"/>
      <x:c r="M124" s="306"/>
      <x:c r="N124" s="306"/>
      <x:c r="O124" s="306"/>
      <x:c r="P124" s="306"/>
      <x:c r="Q124" s="306"/>
    </x:row>
    <x:row r="125">
      <x:c r="A125" s="306"/>
      <x:c r="B125" s="306"/>
      <x:c r="C125" s="306"/>
      <x:c r="D125" s="306"/>
      <x:c r="E125" s="306"/>
      <x:c r="F125" s="306"/>
      <x:c r="G125" s="306"/>
      <x:c r="H125" s="306"/>
      <x:c r="I125" s="306"/>
      <x:c r="J125" s="306"/>
      <x:c r="K125" s="306"/>
      <x:c r="L125" s="306"/>
      <x:c r="M125" s="306"/>
      <x:c r="N125" s="306"/>
      <x:c r="O125" s="306"/>
      <x:c r="P125" s="306"/>
      <x:c r="Q125" s="306"/>
    </x:row>
    <x:row r="126">
      <x:c r="A126" s="306"/>
      <x:c r="B126" s="306"/>
      <x:c r="C126" s="306"/>
      <x:c r="D126" s="306"/>
      <x:c r="E126" s="306"/>
      <x:c r="F126" s="306"/>
      <x:c r="G126" s="306"/>
      <x:c r="H126" s="306"/>
      <x:c r="I126" s="306"/>
      <x:c r="J126" s="306"/>
      <x:c r="K126" s="306"/>
      <x:c r="L126" s="306"/>
      <x:c r="M126" s="306"/>
      <x:c r="N126" s="306"/>
      <x:c r="O126" s="306"/>
      <x:c r="P126" s="306"/>
      <x:c r="Q126" s="306"/>
    </x:row>
    <x:row r="127">
      <x:c r="A127" s="306"/>
      <x:c r="B127" s="306"/>
      <x:c r="C127" s="306"/>
      <x:c r="D127" s="306"/>
      <x:c r="E127" s="306"/>
      <x:c r="F127" s="306"/>
      <x:c r="G127" s="306"/>
      <x:c r="H127" s="306"/>
      <x:c r="I127" s="306"/>
      <x:c r="J127" s="306"/>
      <x:c r="K127" s="306"/>
      <x:c r="L127" s="306"/>
      <x:c r="M127" s="306"/>
      <x:c r="N127" s="306"/>
      <x:c r="O127" s="306"/>
      <x:c r="P127" s="306"/>
      <x:c r="Q127" s="306"/>
    </x:row>
    <x:row r="128">
      <x:c r="A128" s="306"/>
      <x:c r="B128" s="306"/>
      <x:c r="C128" s="306"/>
      <x:c r="D128" s="306"/>
      <x:c r="E128" s="306"/>
      <x:c r="F128" s="306"/>
      <x:c r="G128" s="306"/>
      <x:c r="H128" s="306"/>
      <x:c r="I128" s="306"/>
      <x:c r="J128" s="306"/>
      <x:c r="K128" s="306"/>
      <x:c r="L128" s="306"/>
      <x:c r="M128" s="306"/>
      <x:c r="N128" s="306"/>
      <x:c r="O128" s="306"/>
      <x:c r="P128" s="306"/>
      <x:c r="Q128" s="306"/>
    </x:row>
    <x:row r="129">
      <x:c r="A129" s="306"/>
      <x:c r="B129" s="306"/>
      <x:c r="C129" s="306"/>
      <x:c r="D129" s="306"/>
      <x:c r="E129" s="306"/>
      <x:c r="F129" s="306"/>
      <x:c r="G129" s="306"/>
      <x:c r="H129" s="306"/>
      <x:c r="I129" s="306"/>
      <x:c r="J129" s="306"/>
      <x:c r="K129" s="306"/>
      <x:c r="L129" s="306"/>
      <x:c r="M129" s="306"/>
      <x:c r="N129" s="306"/>
      <x:c r="O129" s="306"/>
      <x:c r="P129" s="306"/>
      <x:c r="Q129" s="306"/>
    </x:row>
    <x:row r="130">
      <x:c r="A130" s="306"/>
      <x:c r="B130" s="306"/>
      <x:c r="C130" s="306"/>
      <x:c r="D130" s="306"/>
      <x:c r="E130" s="306"/>
      <x:c r="F130" s="306"/>
      <x:c r="G130" s="306"/>
      <x:c r="H130" s="306"/>
      <x:c r="I130" s="306"/>
      <x:c r="J130" s="306"/>
      <x:c r="K130" s="306"/>
      <x:c r="L130" s="306"/>
      <x:c r="M130" s="306"/>
      <x:c r="N130" s="306"/>
      <x:c r="O130" s="306"/>
      <x:c r="P130" s="306"/>
      <x:c r="Q130" s="306"/>
    </x:row>
    <x:row r="131">
      <x:c r="A131" s="306"/>
      <x:c r="B131" s="306"/>
      <x:c r="C131" s="306"/>
      <x:c r="D131" s="306"/>
      <x:c r="E131" s="306"/>
      <x:c r="F131" s="306"/>
      <x:c r="G131" s="306"/>
      <x:c r="H131" s="306"/>
      <x:c r="I131" s="306"/>
      <x:c r="J131" s="306"/>
      <x:c r="K131" s="306"/>
      <x:c r="L131" s="306"/>
      <x:c r="M131" s="306"/>
      <x:c r="N131" s="306"/>
      <x:c r="O131" s="306"/>
      <x:c r="P131" s="306"/>
      <x:c r="Q131" s="306"/>
    </x:row>
    <x:row r="132">
      <x:c r="A132" s="306"/>
      <x:c r="B132" s="306"/>
      <x:c r="C132" s="306"/>
      <x:c r="D132" s="306"/>
      <x:c r="E132" s="306"/>
      <x:c r="F132" s="306"/>
      <x:c r="G132" s="306"/>
      <x:c r="H132" s="306"/>
      <x:c r="I132" s="306"/>
      <x:c r="J132" s="306"/>
      <x:c r="K132" s="306"/>
      <x:c r="L132" s="306"/>
      <x:c r="M132" s="306"/>
      <x:c r="N132" s="306"/>
      <x:c r="O132" s="306"/>
      <x:c r="P132" s="306"/>
      <x:c r="Q132" s="306"/>
    </x:row>
    <x:row r="133">
      <x:c r="A133" s="306"/>
      <x:c r="B133" s="306"/>
      <x:c r="C133" s="306"/>
      <x:c r="D133" s="306"/>
      <x:c r="E133" s="306"/>
      <x:c r="F133" s="306"/>
      <x:c r="G133" s="306"/>
      <x:c r="H133" s="306"/>
      <x:c r="I133" s="306"/>
      <x:c r="J133" s="306"/>
      <x:c r="K133" s="306"/>
      <x:c r="L133" s="306"/>
      <x:c r="M133" s="306"/>
      <x:c r="N133" s="306"/>
      <x:c r="O133" s="306"/>
      <x:c r="P133" s="306"/>
      <x:c r="Q133" s="306"/>
    </x:row>
    <x:row r="134">
      <x:c r="A134" s="306"/>
      <x:c r="B134" s="306"/>
      <x:c r="C134" s="306"/>
      <x:c r="D134" s="306"/>
      <x:c r="E134" s="306"/>
      <x:c r="F134" s="306"/>
      <x:c r="G134" s="306"/>
      <x:c r="H134" s="306"/>
      <x:c r="I134" s="306"/>
      <x:c r="J134" s="306"/>
      <x:c r="K134" s="306"/>
      <x:c r="L134" s="306"/>
      <x:c r="M134" s="306"/>
      <x:c r="N134" s="306"/>
      <x:c r="O134" s="306"/>
      <x:c r="P134" s="306"/>
      <x:c r="Q134" s="306"/>
    </x:row>
    <x:row r="135">
      <x:c r="A135" s="306"/>
      <x:c r="B135" s="306"/>
      <x:c r="C135" s="306"/>
      <x:c r="D135" s="306"/>
      <x:c r="E135" s="306"/>
      <x:c r="F135" s="306"/>
      <x:c r="G135" s="306"/>
      <x:c r="H135" s="306"/>
      <x:c r="I135" s="306"/>
      <x:c r="J135" s="306"/>
      <x:c r="K135" s="306"/>
      <x:c r="L135" s="306"/>
      <x:c r="M135" s="306"/>
      <x:c r="N135" s="306"/>
      <x:c r="O135" s="306"/>
      <x:c r="P135" s="306"/>
      <x:c r="Q135" s="306"/>
    </x:row>
    <x:row r="136">
      <x:c r="A136" s="306"/>
      <x:c r="B136" s="306"/>
      <x:c r="C136" s="306"/>
      <x:c r="D136" s="306"/>
      <x:c r="E136" s="306"/>
      <x:c r="F136" s="306"/>
      <x:c r="G136" s="306"/>
      <x:c r="H136" s="306"/>
      <x:c r="I136" s="306"/>
      <x:c r="J136" s="306"/>
      <x:c r="K136" s="306"/>
      <x:c r="L136" s="306"/>
      <x:c r="M136" s="306"/>
      <x:c r="N136" s="306"/>
      <x:c r="O136" s="306"/>
      <x:c r="P136" s="306"/>
      <x:c r="Q136" s="306"/>
    </x:row>
    <x:row r="137">
      <x:c r="A137" s="306"/>
      <x:c r="B137" s="306"/>
      <x:c r="C137" s="306"/>
      <x:c r="D137" s="306"/>
      <x:c r="E137" s="306"/>
      <x:c r="F137" s="306"/>
      <x:c r="G137" s="306"/>
      <x:c r="H137" s="306"/>
      <x:c r="I137" s="306"/>
      <x:c r="J137" s="306"/>
      <x:c r="K137" s="306"/>
      <x:c r="L137" s="306"/>
      <x:c r="M137" s="306"/>
      <x:c r="N137" s="306"/>
      <x:c r="O137" s="306"/>
      <x:c r="P137" s="306"/>
      <x:c r="Q137" s="306"/>
    </x:row>
    <x:row r="138">
      <x:c r="A138" s="306"/>
      <x:c r="B138" s="306"/>
      <x:c r="C138" s="306"/>
      <x:c r="D138" s="306"/>
      <x:c r="E138" s="306"/>
      <x:c r="F138" s="306"/>
      <x:c r="G138" s="306"/>
      <x:c r="H138" s="306"/>
      <x:c r="I138" s="306"/>
      <x:c r="J138" s="306"/>
      <x:c r="K138" s="306"/>
      <x:c r="L138" s="306"/>
      <x:c r="M138" s="306"/>
      <x:c r="N138" s="306"/>
      <x:c r="O138" s="306"/>
      <x:c r="P138" s="306"/>
      <x:c r="Q138" s="306"/>
    </x:row>
    <x:row r="139">
      <x:c r="A139" s="306"/>
      <x:c r="B139" s="306"/>
      <x:c r="C139" s="306"/>
      <x:c r="D139" s="306"/>
      <x:c r="E139" s="306"/>
      <x:c r="F139" s="306"/>
      <x:c r="G139" s="306"/>
      <x:c r="H139" s="306"/>
      <x:c r="I139" s="306"/>
      <x:c r="J139" s="306"/>
      <x:c r="K139" s="306"/>
      <x:c r="L139" s="306"/>
      <x:c r="M139" s="306"/>
      <x:c r="N139" s="306"/>
      <x:c r="O139" s="306"/>
      <x:c r="P139" s="306"/>
      <x:c r="Q139" s="306"/>
    </x:row>
    <x:row r="140">
      <x:c r="A140" s="306"/>
      <x:c r="B140" s="306"/>
      <x:c r="C140" s="306"/>
      <x:c r="D140" s="306"/>
      <x:c r="E140" s="306"/>
      <x:c r="F140" s="306"/>
      <x:c r="G140" s="306"/>
      <x:c r="H140" s="306"/>
      <x:c r="I140" s="306"/>
      <x:c r="J140" s="306"/>
      <x:c r="K140" s="306"/>
      <x:c r="L140" s="306"/>
      <x:c r="M140" s="306"/>
      <x:c r="N140" s="306"/>
      <x:c r="O140" s="306"/>
      <x:c r="P140" s="306"/>
      <x:c r="Q140" s="306"/>
    </x:row>
    <x:row r="141">
      <x:c r="A141" s="306"/>
      <x:c r="B141" s="306"/>
      <x:c r="C141" s="306"/>
      <x:c r="D141" s="306"/>
      <x:c r="E141" s="306"/>
      <x:c r="F141" s="306"/>
      <x:c r="G141" s="306"/>
      <x:c r="H141" s="306"/>
      <x:c r="I141" s="306"/>
      <x:c r="J141" s="306"/>
      <x:c r="K141" s="306"/>
      <x:c r="L141" s="306"/>
      <x:c r="M141" s="306"/>
      <x:c r="N141" s="306"/>
      <x:c r="O141" s="306"/>
      <x:c r="P141" s="306"/>
      <x:c r="Q141" s="306"/>
    </x:row>
    <x:row r="142">
      <x:c r="A142" s="306"/>
      <x:c r="B142" s="306"/>
      <x:c r="C142" s="306"/>
      <x:c r="D142" s="306"/>
      <x:c r="E142" s="306"/>
      <x:c r="F142" s="306"/>
      <x:c r="G142" s="306"/>
      <x:c r="H142" s="306"/>
      <x:c r="I142" s="306"/>
      <x:c r="J142" s="306"/>
      <x:c r="K142" s="306"/>
      <x:c r="L142" s="306"/>
      <x:c r="M142" s="306"/>
      <x:c r="N142" s="306"/>
      <x:c r="O142" s="306"/>
      <x:c r="P142" s="306"/>
      <x:c r="Q142" s="306"/>
    </x:row>
    <x:row r="143">
      <x:c r="A143" s="306"/>
      <x:c r="B143" s="306"/>
      <x:c r="C143" s="306"/>
      <x:c r="D143" s="306"/>
      <x:c r="E143" s="306"/>
      <x:c r="F143" s="306"/>
      <x:c r="G143" s="306"/>
      <x:c r="H143" s="306"/>
      <x:c r="I143" s="306"/>
      <x:c r="J143" s="306"/>
      <x:c r="K143" s="306"/>
      <x:c r="L143" s="306"/>
      <x:c r="M143" s="306"/>
      <x:c r="N143" s="306"/>
      <x:c r="O143" s="306"/>
      <x:c r="P143" s="306"/>
      <x:c r="Q143" s="306"/>
    </x:row>
    <x:row r="144">
      <x:c r="A144" s="306"/>
      <x:c r="B144" s="306"/>
      <x:c r="C144" s="306"/>
      <x:c r="D144" s="306"/>
      <x:c r="E144" s="306"/>
      <x:c r="F144" s="306"/>
      <x:c r="G144" s="306"/>
      <x:c r="H144" s="306"/>
      <x:c r="I144" s="306"/>
      <x:c r="J144" s="306"/>
      <x:c r="K144" s="306"/>
      <x:c r="L144" s="306"/>
      <x:c r="M144" s="306"/>
      <x:c r="N144" s="306"/>
      <x:c r="O144" s="306"/>
      <x:c r="P144" s="306"/>
      <x:c r="Q144" s="306"/>
    </x:row>
    <x:row r="145">
      <x:c r="A145" s="306"/>
      <x:c r="B145" s="306"/>
      <x:c r="C145" s="306"/>
      <x:c r="D145" s="306"/>
      <x:c r="E145" s="306"/>
      <x:c r="F145" s="306"/>
      <x:c r="G145" s="306"/>
      <x:c r="H145" s="306"/>
      <x:c r="I145" s="306"/>
      <x:c r="J145" s="306"/>
      <x:c r="K145" s="306"/>
      <x:c r="L145" s="306"/>
      <x:c r="M145" s="306"/>
      <x:c r="N145" s="306"/>
      <x:c r="O145" s="306"/>
      <x:c r="P145" s="306"/>
      <x:c r="Q145" s="306"/>
    </x:row>
    <x:row r="146">
      <x:c r="A146" s="306"/>
      <x:c r="B146" s="306"/>
      <x:c r="C146" s="306"/>
      <x:c r="D146" s="306"/>
      <x:c r="E146" s="306"/>
      <x:c r="F146" s="306"/>
      <x:c r="G146" s="306"/>
      <x:c r="H146" s="306"/>
      <x:c r="I146" s="306"/>
      <x:c r="J146" s="306"/>
      <x:c r="K146" s="306"/>
      <x:c r="L146" s="306"/>
      <x:c r="M146" s="306"/>
      <x:c r="N146" s="306"/>
      <x:c r="O146" s="306"/>
      <x:c r="P146" s="306"/>
      <x:c r="Q146" s="306"/>
    </x:row>
    <x:row r="147">
      <x:c r="A147" s="306"/>
      <x:c r="B147" s="306"/>
      <x:c r="C147" s="306"/>
      <x:c r="D147" s="306"/>
      <x:c r="E147" s="306"/>
      <x:c r="F147" s="306"/>
      <x:c r="G147" s="306"/>
      <x:c r="H147" s="306"/>
      <x:c r="I147" s="306"/>
      <x:c r="J147" s="306"/>
      <x:c r="K147" s="306"/>
      <x:c r="L147" s="306"/>
      <x:c r="M147" s="306"/>
      <x:c r="N147" s="306"/>
      <x:c r="O147" s="306"/>
      <x:c r="P147" s="306"/>
      <x:c r="Q147" s="306"/>
    </x:row>
    <x:row r="148">
      <x:c r="A148" s="306"/>
      <x:c r="B148" s="306"/>
      <x:c r="C148" s="306"/>
      <x:c r="D148" s="306"/>
      <x:c r="E148" s="306"/>
      <x:c r="F148" s="306"/>
      <x:c r="G148" s="306"/>
      <x:c r="H148" s="306"/>
      <x:c r="I148" s="306"/>
      <x:c r="J148" s="306"/>
      <x:c r="K148" s="306"/>
      <x:c r="L148" s="306"/>
      <x:c r="M148" s="306"/>
      <x:c r="N148" s="306"/>
      <x:c r="O148" s="306"/>
      <x:c r="P148" s="306"/>
      <x:c r="Q148" s="306"/>
    </x:row>
    <x:row r="149">
      <x:c r="A149" s="306"/>
      <x:c r="B149" s="306"/>
      <x:c r="C149" s="306"/>
      <x:c r="D149" s="306"/>
      <x:c r="E149" s="306"/>
      <x:c r="F149" s="306"/>
      <x:c r="G149" s="306"/>
      <x:c r="H149" s="306"/>
      <x:c r="I149" s="306"/>
      <x:c r="J149" s="306"/>
      <x:c r="K149" s="306"/>
      <x:c r="L149" s="306"/>
      <x:c r="M149" s="306"/>
      <x:c r="N149" s="306"/>
      <x:c r="O149" s="306"/>
      <x:c r="P149" s="306"/>
      <x:c r="Q149" s="306"/>
    </x:row>
    <x:row r="150">
      <x:c r="A150" s="306"/>
      <x:c r="B150" s="306"/>
      <x:c r="C150" s="306"/>
      <x:c r="D150" s="306"/>
      <x:c r="E150" s="306"/>
      <x:c r="F150" s="306"/>
      <x:c r="G150" s="306"/>
      <x:c r="H150" s="306"/>
      <x:c r="I150" s="306"/>
      <x:c r="J150" s="306"/>
      <x:c r="K150" s="306"/>
      <x:c r="L150" s="306"/>
      <x:c r="M150" s="306"/>
      <x:c r="N150" s="306"/>
      <x:c r="O150" s="306"/>
      <x:c r="P150" s="306"/>
      <x:c r="Q150" s="306"/>
    </x:row>
    <x:row r="151">
      <x:c r="A151" s="306"/>
      <x:c r="B151" s="306"/>
      <x:c r="C151" s="306"/>
      <x:c r="D151" s="306"/>
      <x:c r="E151" s="306"/>
      <x:c r="F151" s="306"/>
      <x:c r="G151" s="306"/>
      <x:c r="H151" s="306"/>
      <x:c r="I151" s="306"/>
      <x:c r="J151" s="306"/>
      <x:c r="K151" s="306"/>
      <x:c r="L151" s="306"/>
      <x:c r="M151" s="306"/>
      <x:c r="N151" s="306"/>
      <x:c r="O151" s="306"/>
      <x:c r="P151" s="306"/>
      <x:c r="Q151" s="306"/>
    </x:row>
    <x:row r="152">
      <x:c r="A152" s="306"/>
      <x:c r="B152" s="306"/>
      <x:c r="C152" s="306"/>
      <x:c r="D152" s="306"/>
      <x:c r="E152" s="306"/>
      <x:c r="F152" s="306"/>
      <x:c r="G152" s="306"/>
      <x:c r="H152" s="306"/>
      <x:c r="I152" s="306"/>
      <x:c r="J152" s="306"/>
      <x:c r="K152" s="306"/>
      <x:c r="L152" s="306"/>
      <x:c r="M152" s="306"/>
      <x:c r="N152" s="306"/>
      <x:c r="O152" s="306"/>
      <x:c r="P152" s="306"/>
      <x:c r="Q152" s="306"/>
    </x:row>
    <x:row r="153">
      <x:c r="A153" s="306"/>
      <x:c r="B153" s="306"/>
      <x:c r="C153" s="306"/>
      <x:c r="D153" s="306"/>
      <x:c r="E153" s="306"/>
      <x:c r="F153" s="306"/>
      <x:c r="G153" s="306"/>
      <x:c r="H153" s="306"/>
      <x:c r="I153" s="306"/>
      <x:c r="J153" s="306"/>
      <x:c r="K153" s="306"/>
      <x:c r="L153" s="306"/>
      <x:c r="M153" s="306"/>
      <x:c r="N153" s="306"/>
      <x:c r="O153" s="306"/>
      <x:c r="P153" s="306"/>
      <x:c r="Q153" s="306"/>
    </x:row>
    <x:row r="154">
      <x:c r="A154" s="306"/>
      <x:c r="B154" s="306"/>
      <x:c r="C154" s="306"/>
      <x:c r="D154" s="306"/>
      <x:c r="E154" s="306"/>
      <x:c r="F154" s="306"/>
      <x:c r="G154" s="306"/>
      <x:c r="H154" s="306"/>
      <x:c r="I154" s="306"/>
      <x:c r="J154" s="306"/>
      <x:c r="K154" s="306"/>
      <x:c r="L154" s="306"/>
      <x:c r="M154" s="306"/>
      <x:c r="N154" s="306"/>
      <x:c r="O154" s="306"/>
      <x:c r="P154" s="306"/>
      <x:c r="Q154" s="306"/>
    </x:row>
    <x:row r="155">
      <x:c r="A155" s="306"/>
      <x:c r="B155" s="306"/>
      <x:c r="C155" s="306"/>
      <x:c r="D155" s="306"/>
      <x:c r="E155" s="306"/>
      <x:c r="F155" s="306"/>
      <x:c r="G155" s="306"/>
      <x:c r="H155" s="306"/>
      <x:c r="I155" s="306"/>
      <x:c r="J155" s="306"/>
      <x:c r="K155" s="306"/>
      <x:c r="L155" s="306"/>
      <x:c r="M155" s="306"/>
      <x:c r="N155" s="306"/>
      <x:c r="O155" s="306"/>
      <x:c r="P155" s="306"/>
      <x:c r="Q155" s="306"/>
    </x:row>
    <x:row r="156">
      <x:c r="A156" s="306"/>
      <x:c r="B156" s="306"/>
      <x:c r="C156" s="306"/>
      <x:c r="D156" s="306"/>
      <x:c r="E156" s="306"/>
      <x:c r="F156" s="306"/>
      <x:c r="G156" s="306"/>
      <x:c r="H156" s="306"/>
      <x:c r="I156" s="306"/>
      <x:c r="J156" s="306"/>
      <x:c r="K156" s="306"/>
      <x:c r="L156" s="306"/>
      <x:c r="M156" s="306"/>
      <x:c r="N156" s="306"/>
      <x:c r="O156" s="306"/>
      <x:c r="P156" s="306"/>
      <x:c r="Q156" s="306"/>
    </x:row>
    <x:row r="157">
      <x:c r="A157" s="306"/>
      <x:c r="B157" s="306"/>
      <x:c r="C157" s="306"/>
      <x:c r="D157" s="306"/>
      <x:c r="E157" s="306"/>
      <x:c r="F157" s="306"/>
      <x:c r="G157" s="306"/>
      <x:c r="H157" s="306"/>
      <x:c r="I157" s="306"/>
      <x:c r="J157" s="306"/>
      <x:c r="K157" s="306"/>
      <x:c r="L157" s="306"/>
      <x:c r="M157" s="306"/>
      <x:c r="N157" s="306"/>
      <x:c r="O157" s="306"/>
      <x:c r="P157" s="306"/>
      <x:c r="Q157" s="306"/>
    </x:row>
    <x:row r="158">
      <x:c r="A158" s="306"/>
      <x:c r="B158" s="306"/>
      <x:c r="C158" s="306"/>
      <x:c r="D158" s="306"/>
      <x:c r="E158" s="306"/>
      <x:c r="F158" s="306"/>
      <x:c r="G158" s="306"/>
      <x:c r="H158" s="306"/>
      <x:c r="I158" s="306"/>
      <x:c r="J158" s="306"/>
      <x:c r="K158" s="306"/>
      <x:c r="L158" s="306"/>
      <x:c r="M158" s="306"/>
      <x:c r="N158" s="306"/>
      <x:c r="O158" s="306"/>
      <x:c r="P158" s="306"/>
      <x:c r="Q158" s="306"/>
    </x:row>
    <x:row r="159">
      <x:c r="A159" s="306"/>
      <x:c r="B159" s="306"/>
      <x:c r="C159" s="306"/>
      <x:c r="D159" s="306"/>
      <x:c r="E159" s="306"/>
      <x:c r="F159" s="306"/>
      <x:c r="G159" s="306"/>
      <x:c r="H159" s="306"/>
      <x:c r="I159" s="306"/>
      <x:c r="J159" s="306"/>
      <x:c r="K159" s="306"/>
      <x:c r="L159" s="306"/>
      <x:c r="M159" s="306"/>
      <x:c r="N159" s="306"/>
      <x:c r="O159" s="306"/>
      <x:c r="P159" s="306"/>
      <x:c r="Q159" s="306"/>
    </x:row>
    <x:row r="160">
      <x:c r="A160" s="306"/>
      <x:c r="B160" s="306"/>
      <x:c r="C160" s="306"/>
      <x:c r="D160" s="306"/>
      <x:c r="E160" s="306"/>
      <x:c r="F160" s="306"/>
      <x:c r="G160" s="306"/>
      <x:c r="H160" s="306"/>
      <x:c r="I160" s="306"/>
      <x:c r="J160" s="306"/>
      <x:c r="K160" s="306"/>
      <x:c r="L160" s="306"/>
      <x:c r="M160" s="306"/>
      <x:c r="N160" s="306"/>
      <x:c r="O160" s="306"/>
      <x:c r="P160" s="306"/>
      <x:c r="Q160" s="306"/>
    </x:row>
    <x:row r="161">
      <x:c r="A161" s="306"/>
      <x:c r="B161" s="306"/>
      <x:c r="C161" s="306"/>
      <x:c r="D161" s="306"/>
      <x:c r="E161" s="306"/>
      <x:c r="F161" s="306"/>
      <x:c r="G161" s="306"/>
      <x:c r="H161" s="306"/>
      <x:c r="I161" s="306"/>
      <x:c r="J161" s="306"/>
      <x:c r="K161" s="306"/>
      <x:c r="L161" s="306"/>
      <x:c r="M161" s="306"/>
      <x:c r="N161" s="306"/>
      <x:c r="O161" s="306"/>
      <x:c r="P161" s="306"/>
      <x:c r="Q161" s="306"/>
    </x:row>
    <x:row r="162">
      <x:c r="A162" s="306"/>
      <x:c r="B162" s="306"/>
      <x:c r="C162" s="306"/>
      <x:c r="D162" s="306"/>
      <x:c r="E162" s="306"/>
      <x:c r="F162" s="306"/>
      <x:c r="G162" s="306"/>
      <x:c r="H162" s="306"/>
      <x:c r="I162" s="306"/>
      <x:c r="J162" s="306"/>
      <x:c r="K162" s="306"/>
      <x:c r="L162" s="306"/>
      <x:c r="M162" s="306"/>
      <x:c r="N162" s="306"/>
      <x:c r="O162" s="306"/>
      <x:c r="P162" s="306"/>
      <x:c r="Q162" s="306"/>
    </x:row>
    <x:row r="163">
      <x:c r="A163" s="306"/>
      <x:c r="B163" s="306"/>
      <x:c r="C163" s="306"/>
      <x:c r="D163" s="306"/>
      <x:c r="E163" s="306"/>
      <x:c r="F163" s="306"/>
      <x:c r="G163" s="306"/>
      <x:c r="H163" s="306"/>
      <x:c r="I163" s="306"/>
      <x:c r="J163" s="306"/>
      <x:c r="K163" s="306"/>
      <x:c r="L163" s="306"/>
      <x:c r="M163" s="306"/>
      <x:c r="N163" s="306"/>
      <x:c r="O163" s="306"/>
      <x:c r="P163" s="306"/>
      <x:c r="Q163" s="306"/>
    </x:row>
    <x:row r="164">
      <x:c r="A164" s="306"/>
      <x:c r="B164" s="306"/>
      <x:c r="C164" s="306"/>
      <x:c r="D164" s="306"/>
      <x:c r="E164" s="306"/>
      <x:c r="F164" s="306"/>
      <x:c r="G164" s="306"/>
      <x:c r="H164" s="306"/>
      <x:c r="I164" s="306"/>
      <x:c r="J164" s="306"/>
      <x:c r="K164" s="306"/>
      <x:c r="L164" s="306"/>
      <x:c r="M164" s="306"/>
      <x:c r="N164" s="306"/>
      <x:c r="O164" s="306"/>
      <x:c r="P164" s="306"/>
      <x:c r="Q164" s="306"/>
    </x:row>
    <x:row r="165">
      <x:c r="A165" s="306"/>
      <x:c r="B165" s="306"/>
      <x:c r="C165" s="306"/>
      <x:c r="D165" s="306"/>
      <x:c r="E165" s="306"/>
      <x:c r="F165" s="306"/>
      <x:c r="G165" s="306"/>
      <x:c r="H165" s="306"/>
      <x:c r="I165" s="306"/>
      <x:c r="J165" s="306"/>
      <x:c r="K165" s="306"/>
      <x:c r="L165" s="306"/>
      <x:c r="M165" s="306"/>
      <x:c r="N165" s="306"/>
      <x:c r="O165" s="306"/>
      <x:c r="P165" s="306"/>
      <x:c r="Q165" s="306"/>
    </x:row>
    <x:row r="166">
      <x:c r="A166" s="306"/>
      <x:c r="B166" s="306"/>
      <x:c r="C166" s="306"/>
      <x:c r="D166" s="306"/>
      <x:c r="E166" s="306"/>
      <x:c r="F166" s="306"/>
      <x:c r="G166" s="306"/>
      <x:c r="H166" s="306"/>
      <x:c r="I166" s="306"/>
      <x:c r="J166" s="306"/>
      <x:c r="K166" s="306"/>
      <x:c r="L166" s="306"/>
      <x:c r="M166" s="306"/>
      <x:c r="N166" s="306"/>
      <x:c r="O166" s="306"/>
      <x:c r="P166" s="306"/>
      <x:c r="Q166" s="306"/>
    </x:row>
    <x:row r="167">
      <x:c r="A167" s="306"/>
      <x:c r="B167" s="306"/>
      <x:c r="C167" s="306"/>
      <x:c r="D167" s="306"/>
      <x:c r="E167" s="306"/>
      <x:c r="F167" s="306"/>
      <x:c r="G167" s="306"/>
      <x:c r="H167" s="306"/>
      <x:c r="I167" s="306"/>
      <x:c r="J167" s="306"/>
      <x:c r="K167" s="306"/>
      <x:c r="L167" s="306"/>
      <x:c r="M167" s="306"/>
      <x:c r="N167" s="306"/>
      <x:c r="O167" s="306"/>
      <x:c r="P167" s="306"/>
      <x:c r="Q167" s="306"/>
    </x:row>
    <x:row r="168">
      <x:c r="A168" s="306"/>
      <x:c r="B168" s="306"/>
      <x:c r="C168" s="306"/>
      <x:c r="D168" s="306"/>
      <x:c r="E168" s="306"/>
      <x:c r="F168" s="306"/>
      <x:c r="G168" s="306"/>
      <x:c r="H168" s="306"/>
      <x:c r="I168" s="306"/>
      <x:c r="J168" s="306"/>
      <x:c r="K168" s="306"/>
      <x:c r="L168" s="306"/>
      <x:c r="M168" s="306"/>
      <x:c r="N168" s="306"/>
      <x:c r="O168" s="306"/>
      <x:c r="P168" s="306"/>
      <x:c r="Q168" s="306"/>
    </x:row>
    <x:row r="169">
      <x:c r="A169" s="306"/>
      <x:c r="B169" s="306"/>
      <x:c r="C169" s="306"/>
      <x:c r="D169" s="306"/>
      <x:c r="E169" s="306"/>
      <x:c r="F169" s="306"/>
      <x:c r="G169" s="306"/>
      <x:c r="H169" s="306"/>
      <x:c r="I169" s="306"/>
      <x:c r="J169" s="306"/>
      <x:c r="K169" s="306"/>
      <x:c r="L169" s="306"/>
      <x:c r="M169" s="306"/>
      <x:c r="N169" s="306"/>
      <x:c r="O169" s="306"/>
      <x:c r="P169" s="306"/>
      <x:c r="Q169" s="306"/>
    </x:row>
    <x:row r="170">
      <x:c r="A170" s="306"/>
      <x:c r="B170" s="306"/>
      <x:c r="C170" s="306"/>
      <x:c r="D170" s="306"/>
      <x:c r="E170" s="306"/>
      <x:c r="F170" s="306"/>
      <x:c r="G170" s="306"/>
      <x:c r="H170" s="306"/>
      <x:c r="I170" s="306"/>
      <x:c r="J170" s="306"/>
      <x:c r="K170" s="306"/>
      <x:c r="L170" s="306"/>
      <x:c r="M170" s="306"/>
      <x:c r="N170" s="306"/>
      <x:c r="O170" s="306"/>
      <x:c r="P170" s="306"/>
      <x:c r="Q170" s="306"/>
    </x:row>
    <x:row r="171">
      <x:c r="A171" s="306"/>
      <x:c r="B171" s="306"/>
      <x:c r="C171" s="306"/>
      <x:c r="D171" s="306"/>
      <x:c r="E171" s="306"/>
      <x:c r="F171" s="306"/>
      <x:c r="G171" s="306"/>
      <x:c r="H171" s="306"/>
      <x:c r="I171" s="306"/>
      <x:c r="J171" s="306"/>
      <x:c r="K171" s="306"/>
      <x:c r="L171" s="306"/>
      <x:c r="M171" s="306"/>
      <x:c r="N171" s="306"/>
      <x:c r="O171" s="306"/>
      <x:c r="P171" s="306"/>
      <x:c r="Q171" s="306"/>
    </x:row>
    <x:row r="172">
      <x:c r="A172" s="306"/>
      <x:c r="B172" s="306"/>
      <x:c r="C172" s="306"/>
      <x:c r="D172" s="306"/>
      <x:c r="E172" s="306"/>
      <x:c r="F172" s="306"/>
      <x:c r="G172" s="306"/>
      <x:c r="H172" s="306"/>
      <x:c r="I172" s="306"/>
      <x:c r="J172" s="306"/>
      <x:c r="K172" s="306"/>
      <x:c r="L172" s="306"/>
      <x:c r="M172" s="306"/>
      <x:c r="N172" s="306"/>
      <x:c r="O172" s="306"/>
      <x:c r="P172" s="306"/>
      <x:c r="Q172" s="306"/>
    </x:row>
    <x:row r="173">
      <x:c r="A173" s="306"/>
      <x:c r="B173" s="306"/>
      <x:c r="C173" s="306"/>
      <x:c r="D173" s="306"/>
      <x:c r="E173" s="306"/>
      <x:c r="F173" s="306"/>
      <x:c r="G173" s="306"/>
      <x:c r="H173" s="306"/>
      <x:c r="I173" s="306"/>
      <x:c r="J173" s="306"/>
      <x:c r="K173" s="306"/>
      <x:c r="L173" s="306"/>
      <x:c r="M173" s="306"/>
      <x:c r="N173" s="306"/>
      <x:c r="O173" s="306"/>
      <x:c r="P173" s="306"/>
      <x:c r="Q173" s="306"/>
    </x:row>
    <x:row r="174">
      <x:c r="A174" s="306"/>
      <x:c r="B174" s="306"/>
      <x:c r="C174" s="306"/>
      <x:c r="D174" s="306"/>
      <x:c r="E174" s="306"/>
      <x:c r="F174" s="306"/>
      <x:c r="G174" s="306"/>
      <x:c r="H174" s="306"/>
      <x:c r="I174" s="306"/>
      <x:c r="J174" s="306"/>
      <x:c r="K174" s="306"/>
      <x:c r="L174" s="306"/>
      <x:c r="M174" s="306"/>
      <x:c r="N174" s="306"/>
      <x:c r="O174" s="306"/>
      <x:c r="P174" s="306"/>
      <x:c r="Q174" s="306"/>
    </x:row>
    <x:row r="175">
      <x:c r="A175" s="306"/>
      <x:c r="B175" s="306"/>
      <x:c r="C175" s="306"/>
      <x:c r="D175" s="306"/>
      <x:c r="E175" s="306"/>
      <x:c r="F175" s="306"/>
      <x:c r="G175" s="306"/>
      <x:c r="H175" s="306"/>
      <x:c r="I175" s="306"/>
      <x:c r="J175" s="306"/>
      <x:c r="K175" s="306"/>
      <x:c r="L175" s="306"/>
      <x:c r="M175" s="306"/>
      <x:c r="N175" s="306"/>
      <x:c r="O175" s="306"/>
      <x:c r="P175" s="306"/>
      <x:c r="Q175" s="306"/>
    </x:row>
    <x:row r="176">
      <x:c r="A176" s="306"/>
      <x:c r="B176" s="306"/>
      <x:c r="C176" s="306"/>
      <x:c r="D176" s="306"/>
      <x:c r="E176" s="306"/>
      <x:c r="F176" s="306"/>
      <x:c r="G176" s="306"/>
      <x:c r="H176" s="306"/>
      <x:c r="I176" s="306"/>
      <x:c r="J176" s="306"/>
      <x:c r="K176" s="306"/>
      <x:c r="L176" s="306"/>
      <x:c r="M176" s="306"/>
      <x:c r="N176" s="306"/>
      <x:c r="O176" s="306"/>
      <x:c r="P176" s="306"/>
      <x:c r="Q176" s="306"/>
    </x:row>
    <x:row r="177">
      <x:c r="A177" s="306"/>
      <x:c r="B177" s="306"/>
      <x:c r="C177" s="306"/>
      <x:c r="D177" s="306"/>
      <x:c r="E177" s="306"/>
      <x:c r="F177" s="306"/>
      <x:c r="G177" s="306"/>
      <x:c r="H177" s="306"/>
      <x:c r="I177" s="306"/>
      <x:c r="J177" s="306"/>
      <x:c r="K177" s="306"/>
      <x:c r="L177" s="306"/>
      <x:c r="M177" s="306"/>
      <x:c r="N177" s="306"/>
      <x:c r="O177" s="306"/>
      <x:c r="P177" s="306"/>
      <x:c r="Q177" s="306"/>
    </x:row>
    <x:row r="178">
      <x:c r="A178" s="306"/>
      <x:c r="B178" s="306"/>
      <x:c r="C178" s="306"/>
      <x:c r="D178" s="306"/>
      <x:c r="E178" s="306"/>
      <x:c r="F178" s="306"/>
      <x:c r="G178" s="306"/>
      <x:c r="H178" s="306"/>
      <x:c r="I178" s="306"/>
      <x:c r="J178" s="306"/>
      <x:c r="K178" s="306"/>
      <x:c r="L178" s="306"/>
      <x:c r="M178" s="306"/>
      <x:c r="N178" s="306"/>
      <x:c r="O178" s="306"/>
      <x:c r="P178" s="306"/>
      <x:c r="Q178" s="306"/>
    </x:row>
    <x:row r="179">
      <x:c r="A179" s="306"/>
      <x:c r="B179" s="306"/>
      <x:c r="C179" s="306"/>
      <x:c r="D179" s="306"/>
      <x:c r="E179" s="306"/>
      <x:c r="F179" s="306"/>
      <x:c r="G179" s="306"/>
      <x:c r="H179" s="306"/>
      <x:c r="I179" s="306"/>
      <x:c r="J179" s="306"/>
      <x:c r="K179" s="306"/>
      <x:c r="L179" s="306"/>
      <x:c r="M179" s="306"/>
      <x:c r="N179" s="306"/>
      <x:c r="O179" s="306"/>
      <x:c r="P179" s="306"/>
      <x:c r="Q179" s="306"/>
    </x:row>
    <x:row r="180">
      <x:c r="A180" s="306"/>
      <x:c r="B180" s="306"/>
      <x:c r="C180" s="306"/>
      <x:c r="D180" s="306"/>
      <x:c r="E180" s="306"/>
      <x:c r="F180" s="306"/>
      <x:c r="G180" s="306"/>
      <x:c r="H180" s="306"/>
      <x:c r="I180" s="306"/>
      <x:c r="J180" s="306"/>
      <x:c r="K180" s="306"/>
      <x:c r="L180" s="306"/>
      <x:c r="M180" s="306"/>
      <x:c r="N180" s="306"/>
      <x:c r="O180" s="306"/>
      <x:c r="P180" s="306"/>
      <x:c r="Q180" s="306"/>
    </x:row>
    <x:row r="181">
      <x:c r="A181" s="306"/>
      <x:c r="B181" s="306"/>
      <x:c r="C181" s="306"/>
      <x:c r="D181" s="306"/>
      <x:c r="E181" s="306"/>
      <x:c r="F181" s="306"/>
      <x:c r="G181" s="306"/>
      <x:c r="H181" s="306"/>
      <x:c r="I181" s="306"/>
      <x:c r="J181" s="306"/>
      <x:c r="K181" s="306"/>
      <x:c r="L181" s="306"/>
      <x:c r="M181" s="306"/>
      <x:c r="N181" s="306"/>
      <x:c r="O181" s="306"/>
      <x:c r="P181" s="306"/>
      <x:c r="Q181" s="306"/>
    </x:row>
    <x:row r="182">
      <x:c r="A182" s="306"/>
      <x:c r="B182" s="306"/>
      <x:c r="C182" s="306"/>
      <x:c r="D182" s="306"/>
      <x:c r="E182" s="306"/>
      <x:c r="F182" s="306"/>
      <x:c r="G182" s="306"/>
      <x:c r="H182" s="306"/>
      <x:c r="I182" s="306"/>
      <x:c r="J182" s="306"/>
      <x:c r="K182" s="306"/>
      <x:c r="L182" s="306"/>
      <x:c r="M182" s="306"/>
      <x:c r="N182" s="306"/>
      <x:c r="O182" s="306"/>
      <x:c r="P182" s="306"/>
      <x:c r="Q182" s="306"/>
    </x:row>
    <x:row r="183">
      <x:c r="A183" s="306"/>
      <x:c r="B183" s="306"/>
      <x:c r="C183" s="306"/>
      <x:c r="D183" s="306"/>
      <x:c r="E183" s="306"/>
      <x:c r="F183" s="306"/>
      <x:c r="G183" s="306"/>
      <x:c r="H183" s="306"/>
      <x:c r="I183" s="306"/>
      <x:c r="J183" s="306"/>
      <x:c r="K183" s="306"/>
      <x:c r="L183" s="306"/>
      <x:c r="M183" s="306"/>
      <x:c r="N183" s="306"/>
      <x:c r="O183" s="306"/>
      <x:c r="P183" s="306"/>
      <x:c r="Q183" s="306"/>
    </x:row>
    <x:row r="184">
      <x:c r="A184" s="306"/>
      <x:c r="B184" s="306"/>
      <x:c r="C184" s="306"/>
      <x:c r="D184" s="306"/>
      <x:c r="E184" s="306"/>
      <x:c r="F184" s="306"/>
      <x:c r="G184" s="306"/>
      <x:c r="H184" s="306"/>
      <x:c r="I184" s="306"/>
      <x:c r="J184" s="306"/>
      <x:c r="K184" s="306"/>
      <x:c r="L184" s="306"/>
      <x:c r="M184" s="306"/>
      <x:c r="N184" s="306"/>
      <x:c r="O184" s="306"/>
      <x:c r="P184" s="306"/>
      <x:c r="Q184" s="306"/>
    </x:row>
    <x:row r="185">
      <x:c r="A185" s="306"/>
      <x:c r="B185" s="306"/>
      <x:c r="C185" s="306"/>
      <x:c r="D185" s="306"/>
      <x:c r="E185" s="306"/>
      <x:c r="F185" s="306"/>
      <x:c r="G185" s="306"/>
      <x:c r="H185" s="306"/>
      <x:c r="I185" s="306"/>
      <x:c r="J185" s="306"/>
      <x:c r="K185" s="306"/>
      <x:c r="L185" s="306"/>
      <x:c r="M185" s="306"/>
      <x:c r="N185" s="306"/>
      <x:c r="O185" s="306"/>
      <x:c r="P185" s="306"/>
      <x:c r="Q185" s="306"/>
    </x:row>
    <x:row r="186">
      <x:c r="A186" s="306"/>
      <x:c r="B186" s="306"/>
      <x:c r="C186" s="306"/>
      <x:c r="D186" s="306"/>
      <x:c r="E186" s="306"/>
      <x:c r="F186" s="306"/>
      <x:c r="G186" s="306"/>
      <x:c r="H186" s="306"/>
      <x:c r="I186" s="306"/>
      <x:c r="J186" s="306"/>
      <x:c r="K186" s="306"/>
      <x:c r="L186" s="306"/>
      <x:c r="M186" s="306"/>
      <x:c r="N186" s="306"/>
      <x:c r="O186" s="306"/>
      <x:c r="P186" s="306"/>
      <x:c r="Q186" s="306"/>
    </x:row>
    <x:row r="187">
      <x:c r="A187" s="306"/>
      <x:c r="B187" s="306"/>
      <x:c r="C187" s="306"/>
      <x:c r="D187" s="306"/>
      <x:c r="E187" s="306"/>
      <x:c r="F187" s="306"/>
      <x:c r="G187" s="306"/>
      <x:c r="H187" s="306"/>
      <x:c r="I187" s="306"/>
      <x:c r="J187" s="306"/>
      <x:c r="K187" s="306"/>
      <x:c r="L187" s="306"/>
      <x:c r="M187" s="306"/>
      <x:c r="N187" s="306"/>
      <x:c r="O187" s="306"/>
      <x:c r="P187" s="306"/>
      <x:c r="Q187" s="306"/>
    </x:row>
    <x:row r="188">
      <x:c r="A188" s="306"/>
      <x:c r="B188" s="306"/>
      <x:c r="C188" s="306"/>
      <x:c r="D188" s="306"/>
      <x:c r="E188" s="306"/>
      <x:c r="F188" s="306"/>
      <x:c r="G188" s="306"/>
      <x:c r="H188" s="306"/>
      <x:c r="I188" s="306"/>
      <x:c r="J188" s="306"/>
      <x:c r="K188" s="306"/>
      <x:c r="L188" s="306"/>
      <x:c r="M188" s="306"/>
      <x:c r="N188" s="306"/>
      <x:c r="O188" s="306"/>
      <x:c r="P188" s="306"/>
      <x:c r="Q188" s="306"/>
    </x:row>
    <x:row r="189">
      <x:c r="A189" s="306"/>
      <x:c r="B189" s="306"/>
      <x:c r="C189" s="306"/>
      <x:c r="D189" s="306"/>
      <x:c r="E189" s="306"/>
      <x:c r="F189" s="306"/>
      <x:c r="G189" s="306"/>
      <x:c r="H189" s="306"/>
      <x:c r="I189" s="306"/>
      <x:c r="J189" s="306"/>
      <x:c r="K189" s="306"/>
      <x:c r="L189" s="306"/>
      <x:c r="M189" s="306"/>
      <x:c r="N189" s="306"/>
      <x:c r="O189" s="306"/>
      <x:c r="P189" s="306"/>
      <x:c r="Q189" s="306"/>
    </x:row>
    <x:row r="190">
      <x:c r="A190" s="306"/>
      <x:c r="B190" s="306"/>
      <x:c r="C190" s="306"/>
      <x:c r="D190" s="306"/>
      <x:c r="E190" s="306"/>
      <x:c r="F190" s="306"/>
      <x:c r="G190" s="306"/>
      <x:c r="H190" s="306"/>
      <x:c r="I190" s="306"/>
      <x:c r="J190" s="306"/>
      <x:c r="K190" s="306"/>
      <x:c r="L190" s="306"/>
      <x:c r="M190" s="306"/>
      <x:c r="N190" s="306"/>
      <x:c r="O190" s="306"/>
      <x:c r="P190" s="306"/>
      <x:c r="Q190" s="306"/>
    </x:row>
    <x:row r="191">
      <x:c r="A191" s="306"/>
      <x:c r="B191" s="306"/>
      <x:c r="C191" s="306"/>
      <x:c r="D191" s="306"/>
      <x:c r="E191" s="306"/>
      <x:c r="F191" s="306"/>
      <x:c r="G191" s="306"/>
      <x:c r="H191" s="306"/>
      <x:c r="I191" s="306"/>
      <x:c r="J191" s="306"/>
      <x:c r="K191" s="306"/>
      <x:c r="L191" s="306"/>
      <x:c r="M191" s="306"/>
      <x:c r="N191" s="306"/>
      <x:c r="O191" s="306"/>
      <x:c r="P191" s="306"/>
      <x:c r="Q191" s="306"/>
    </x:row>
    <x:row r="192">
      <x:c r="A192" s="306"/>
      <x:c r="B192" s="306"/>
      <x:c r="C192" s="306"/>
      <x:c r="D192" s="306"/>
      <x:c r="E192" s="306"/>
      <x:c r="F192" s="306"/>
      <x:c r="G192" s="306"/>
      <x:c r="H192" s="306"/>
      <x:c r="I192" s="306"/>
      <x:c r="J192" s="306"/>
      <x:c r="K192" s="306"/>
      <x:c r="L192" s="306"/>
      <x:c r="M192" s="306"/>
      <x:c r="N192" s="306"/>
      <x:c r="O192" s="306"/>
      <x:c r="P192" s="306"/>
      <x:c r="Q192" s="306"/>
    </x:row>
    <x:row r="193">
      <x:c r="A193" s="306"/>
      <x:c r="B193" s="306"/>
      <x:c r="C193" s="306"/>
      <x:c r="D193" s="306"/>
      <x:c r="E193" s="306"/>
      <x:c r="F193" s="306"/>
      <x:c r="G193" s="306"/>
      <x:c r="H193" s="306"/>
      <x:c r="I193" s="306"/>
      <x:c r="J193" s="306"/>
      <x:c r="K193" s="306"/>
      <x:c r="L193" s="306"/>
      <x:c r="M193" s="306"/>
      <x:c r="N193" s="306"/>
      <x:c r="O193" s="306"/>
      <x:c r="P193" s="306"/>
      <x:c r="Q193" s="306"/>
    </x:row>
    <x:row r="194">
      <x:c r="A194" s="306"/>
      <x:c r="B194" s="306"/>
      <x:c r="C194" s="306"/>
      <x:c r="D194" s="306"/>
      <x:c r="E194" s="306"/>
      <x:c r="F194" s="306"/>
      <x:c r="G194" s="306"/>
      <x:c r="H194" s="306"/>
      <x:c r="I194" s="306"/>
      <x:c r="J194" s="306"/>
      <x:c r="K194" s="306"/>
      <x:c r="L194" s="306"/>
      <x:c r="M194" s="306"/>
      <x:c r="N194" s="306"/>
      <x:c r="O194" s="306"/>
      <x:c r="P194" s="306"/>
      <x:c r="Q194" s="306"/>
    </x:row>
    <x:row r="195">
      <x:c r="A195" s="306"/>
      <x:c r="B195" s="306"/>
      <x:c r="C195" s="306"/>
      <x:c r="D195" s="306"/>
      <x:c r="E195" s="306"/>
      <x:c r="F195" s="306"/>
      <x:c r="G195" s="306"/>
      <x:c r="H195" s="306"/>
      <x:c r="I195" s="306"/>
      <x:c r="J195" s="306"/>
      <x:c r="K195" s="306"/>
      <x:c r="L195" s="306"/>
      <x:c r="M195" s="306"/>
      <x:c r="N195" s="306"/>
      <x:c r="O195" s="306"/>
      <x:c r="P195" s="306"/>
      <x:c r="Q195" s="306"/>
    </x:row>
    <x:row r="196">
      <x:c r="A196" s="306"/>
      <x:c r="B196" s="306"/>
      <x:c r="C196" s="306"/>
      <x:c r="D196" s="306"/>
      <x:c r="E196" s="306"/>
      <x:c r="F196" s="306"/>
      <x:c r="G196" s="306"/>
      <x:c r="H196" s="306"/>
      <x:c r="I196" s="306"/>
      <x:c r="J196" s="306"/>
      <x:c r="K196" s="306"/>
      <x:c r="L196" s="306"/>
      <x:c r="M196" s="306"/>
      <x:c r="N196" s="306"/>
      <x:c r="O196" s="306"/>
      <x:c r="P196" s="306"/>
      <x:c r="Q196" s="306"/>
    </x:row>
    <x:row r="197">
      <x:c r="A197" s="306"/>
      <x:c r="B197" s="306"/>
      <x:c r="C197" s="306"/>
      <x:c r="D197" s="306"/>
      <x:c r="E197" s="306"/>
      <x:c r="F197" s="306"/>
      <x:c r="G197" s="306"/>
      <x:c r="H197" s="306"/>
      <x:c r="I197" s="306"/>
      <x:c r="J197" s="306"/>
      <x:c r="K197" s="306"/>
      <x:c r="L197" s="306"/>
      <x:c r="M197" s="306"/>
      <x:c r="N197" s="306"/>
      <x:c r="O197" s="306"/>
      <x:c r="P197" s="306"/>
      <x:c r="Q197" s="306"/>
    </x:row>
    <x:row r="198">
      <x:c r="A198" s="306"/>
      <x:c r="B198" s="306"/>
      <x:c r="C198" s="306"/>
      <x:c r="D198" s="306"/>
      <x:c r="E198" s="306"/>
      <x:c r="F198" s="306"/>
      <x:c r="G198" s="306"/>
      <x:c r="H198" s="306"/>
      <x:c r="I198" s="306"/>
      <x:c r="J198" s="306"/>
      <x:c r="K198" s="306"/>
      <x:c r="L198" s="306"/>
      <x:c r="M198" s="306"/>
      <x:c r="N198" s="306"/>
      <x:c r="O198" s="306"/>
      <x:c r="P198" s="306"/>
      <x:c r="Q198" s="306"/>
    </x:row>
    <x:row r="199">
      <x:c r="A199" s="306"/>
      <x:c r="B199" s="306"/>
      <x:c r="C199" s="306"/>
      <x:c r="D199" s="306"/>
      <x:c r="E199" s="306"/>
      <x:c r="F199" s="306"/>
      <x:c r="G199" s="306"/>
      <x:c r="H199" s="306"/>
      <x:c r="I199" s="306"/>
      <x:c r="J199" s="306"/>
      <x:c r="K199" s="306"/>
      <x:c r="L199" s="306"/>
      <x:c r="M199" s="306"/>
      <x:c r="N199" s="306"/>
      <x:c r="O199" s="306"/>
      <x:c r="P199" s="306"/>
      <x:c r="Q199" s="306"/>
    </x:row>
    <x:row r="200">
      <x:c r="A200" s="306"/>
      <x:c r="B200" s="306"/>
      <x:c r="C200" s="306"/>
      <x:c r="D200" s="306"/>
      <x:c r="E200" s="306"/>
      <x:c r="F200" s="306"/>
      <x:c r="G200" s="306"/>
      <x:c r="H200" s="306"/>
      <x:c r="I200" s="306"/>
      <x:c r="J200" s="306"/>
      <x:c r="K200" s="306"/>
      <x:c r="L200" s="306"/>
      <x:c r="M200" s="306"/>
      <x:c r="N200" s="306"/>
      <x:c r="O200" s="306"/>
      <x:c r="P200" s="306"/>
      <x:c r="Q200" s="306"/>
    </x:row>
    <x:row r="201">
      <x:c r="A201" s="306"/>
      <x:c r="B201" s="306"/>
      <x:c r="C201" s="306"/>
      <x:c r="D201" s="306"/>
      <x:c r="E201" s="306"/>
      <x:c r="F201" s="306"/>
      <x:c r="G201" s="306"/>
      <x:c r="H201" s="306"/>
      <x:c r="I201" s="306"/>
      <x:c r="J201" s="306"/>
      <x:c r="K201" s="306"/>
      <x:c r="L201" s="306"/>
      <x:c r="M201" s="306"/>
      <x:c r="N201" s="306"/>
      <x:c r="O201" s="306"/>
      <x:c r="P201" s="306"/>
      <x:c r="Q201" s="306"/>
    </x:row>
    <x:row r="202">
      <x:c r="A202" s="306"/>
      <x:c r="B202" s="306"/>
      <x:c r="C202" s="306"/>
      <x:c r="D202" s="306"/>
      <x:c r="E202" s="306"/>
      <x:c r="F202" s="306"/>
      <x:c r="G202" s="306"/>
      <x:c r="H202" s="306"/>
      <x:c r="I202" s="306"/>
      <x:c r="J202" s="306"/>
      <x:c r="K202" s="306"/>
      <x:c r="L202" s="306"/>
      <x:c r="M202" s="306"/>
      <x:c r="N202" s="306"/>
      <x:c r="O202" s="306"/>
      <x:c r="P202" s="306"/>
      <x:c r="Q202" s="306"/>
    </x:row>
    <x:row r="203">
      <x:c r="A203" s="306"/>
      <x:c r="B203" s="306"/>
      <x:c r="C203" s="306"/>
      <x:c r="D203" s="306"/>
      <x:c r="E203" s="306"/>
      <x:c r="F203" s="306"/>
      <x:c r="G203" s="306"/>
      <x:c r="H203" s="306"/>
      <x:c r="I203" s="306"/>
      <x:c r="J203" s="306"/>
      <x:c r="K203" s="306"/>
      <x:c r="L203" s="306"/>
      <x:c r="M203" s="306"/>
      <x:c r="N203" s="306"/>
      <x:c r="O203" s="306"/>
      <x:c r="P203" s="306"/>
      <x:c r="Q203" s="306"/>
    </x:row>
    <x:row r="204">
      <x:c r="A204" s="306"/>
      <x:c r="B204" s="306"/>
      <x:c r="C204" s="306"/>
      <x:c r="D204" s="306"/>
      <x:c r="E204" s="306"/>
      <x:c r="F204" s="306"/>
      <x:c r="G204" s="306"/>
      <x:c r="H204" s="306"/>
      <x:c r="I204" s="306"/>
      <x:c r="J204" s="306"/>
      <x:c r="K204" s="306"/>
      <x:c r="L204" s="306"/>
      <x:c r="M204" s="306"/>
      <x:c r="N204" s="306"/>
      <x:c r="O204" s="306"/>
      <x:c r="P204" s="306"/>
      <x:c r="Q204" s="306"/>
    </x:row>
  </x:sheetData>
  <x:mergeCells>
    <x:mergeCell ref="A1:J2"/>
    <x:mergeCell ref="A3:J3"/>
  </x:mergeCells>
  <x:conditionalFormatting sqref="E5:E24">
    <x:cfRule type="colorScale" priority="1">
      <x:colorScale>
        <x:cfvo type="min"/>
        <x:cfvo type="percentile" val="50"/>
        <x:cfvo type="max"/>
        <x:color rgb="FFFFCDD2"/>
        <x:color rgb="FFFFF9C4"/>
        <x:color rgb="FFC8E6C9"/>
      </x:colorScale>
    </x:cfRule>
  </x:conditionalFormatting>
  <x:conditionalFormatting sqref="F5:F24">
    <x:cfRule type="dataBar" priority="2">
      <x:dataBar>
        <x:cfvo type="min"/>
        <x:cfvo type="max"/>
        <x:color rgb="FF1565C0"/>
      </x:dataBar>
      <x:extLst>
        <x:ext xmlns:x14="http://schemas.microsoft.com/office/spreadsheetml/2009/9/main" uri="{B025F937-C7B1-47D3-B67F-A62EFF666E3E}">
          <x14:id>{BF0F1186-C9A1-1E19-78E9-E3AA7FF15BF1}</x14:id>
        </x:ext>
      </x:extLst>
    </x:cfRule>
  </x:conditionalFormatting>
  <x:conditionalFormatting sqref="I5:I24">
    <x:cfRule type="expression" dxfId="9" priority="3">
      <x:formula>I5="Done"</x:formula>
    </x:cfRule>
  </x:conditionalFormatting>
  <x:dataValidations count="2">
    <x:dataValidation type="list" sqref="E5:F24">
      <x:formula1>"1,2,3,4,5"</x:formula1>
    </x:dataValidation>
    <x:dataValidation type="list" sqref="I5:I24">
      <x:formula1>"Not Started,Partial,Done"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a744fde94642a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BF0F1186-C9A1-1E19-78E9-E3AA7FF15BF1}">
            <x14:dataBar gradient="1">
              <x14:cfvo type="min"/>
              <x14:cfvo type="max"/>
              <x14:fillColor rgb="FF1565C0"/>
            </x14:dataBar>
          </x14:cfRule>
          <xm:sqref>F5:F24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</x:cols>
  <x:sheetData>
    <x:row r="1" ht="34" customHeight="1">
      <x:c r="A1" s="389" t="str">
        <x:v>RANDOMIZER SEED NOTES</x:v>
      </x:c>
      <x:c r="B1" s="389"/>
      <x:c r="C1" s="389"/>
      <x:c r="D1" s="389"/>
      <x:c r="E1" s="389"/>
      <x:c r="F1" s="389"/>
      <x:c r="G1" s="389"/>
      <x:c r="H1" s="389"/>
      <x:c r="I1" s="389"/>
      <x:c r="J1" s="389"/>
      <x:c r="K1" s="389"/>
      <x:c r="L1" s="389"/>
      <x:c r="M1" s="306"/>
      <x:c r="N1" s="306"/>
      <x:c r="O1" s="306"/>
      <x:c r="P1" s="306"/>
      <x:c r="Q1" s="306"/>
    </x:row>
    <x:row r="2" ht="34" customHeight="1">
      <x:c r="A2" s="389"/>
      <x:c r="B2" s="389"/>
      <x:c r="C2" s="389"/>
      <x:c r="D2" s="389"/>
      <x:c r="E2" s="389"/>
      <x:c r="F2" s="389"/>
      <x:c r="G2" s="389"/>
      <x:c r="H2" s="389"/>
      <x:c r="I2" s="389"/>
      <x:c r="J2" s="389"/>
      <x:c r="K2" s="389"/>
      <x:c r="L2" s="389"/>
      <x:c r="M2" s="306"/>
      <x:c r="N2" s="306"/>
      <x:c r="O2" s="306"/>
      <x:c r="P2" s="306"/>
      <x:c r="Q2" s="306"/>
    </x:row>
    <x:row r="3">
      <x:c r="A3" s="390" t="str">
        <x:v>Use this sheet for seed-specific learning that does not fit in the general Run Log.</x:v>
      </x:c>
      <x:c r="B3" s="390"/>
      <x:c r="C3" s="390"/>
      <x:c r="D3" s="390"/>
      <x:c r="E3" s="390"/>
      <x:c r="F3" s="390"/>
      <x:c r="G3" s="390"/>
      <x:c r="H3" s="390"/>
      <x:c r="I3" s="390"/>
      <x:c r="J3" s="390"/>
      <x:c r="K3" s="390"/>
      <x:c r="L3" s="390"/>
      <x:c r="M3" s="306"/>
      <x:c r="N3" s="306"/>
      <x:c r="O3" s="306"/>
      <x:c r="P3" s="306"/>
      <x:c r="Q3" s="306"/>
    </x:row>
    <x:row r="4">
      <x:c r="A4" s="306"/>
      <x:c r="B4" s="306"/>
      <x:c r="C4" s="306"/>
      <x:c r="D4" s="306"/>
      <x:c r="E4" s="306"/>
      <x:c r="F4" s="306"/>
      <x:c r="G4" s="306"/>
      <x:c r="H4" s="306"/>
      <x:c r="I4" s="306"/>
      <x:c r="J4" s="306"/>
      <x:c r="K4" s="306"/>
      <x:c r="L4" s="306"/>
      <x:c r="M4" s="306"/>
      <x:c r="N4" s="306"/>
      <x:c r="O4" s="306"/>
      <x:c r="P4" s="306"/>
      <x:c r="Q4" s="306"/>
    </x:row>
    <x:row r="5">
      <x:c r="A5" s="429" t="str">
        <x:v>PRE-SEED CHECKLIST</x:v>
      </x:c>
      <x:c r="B5" s="429"/>
      <x:c r="C5" s="429"/>
      <x:c r="D5" s="429"/>
      <x:c r="E5" s="429"/>
      <x:c r="F5" s="429"/>
      <x:c r="G5" s="429" t="str">
        <x:v>POST-SEED REVIEW</x:v>
      </x:c>
      <x:c r="H5" s="429"/>
      <x:c r="I5" s="429"/>
      <x:c r="J5" s="429"/>
      <x:c r="K5" s="429"/>
      <x:c r="L5" s="429"/>
      <x:c r="M5" s="306"/>
      <x:c r="N5" s="306"/>
      <x:c r="O5" s="306"/>
      <x:c r="P5" s="306"/>
      <x:c r="Q5" s="306"/>
    </x:row>
    <x:row r="6">
      <x:c r="A6" s="329" t="str">
        <x:v>☐</x:v>
      </x:c>
      <x:c r="B6" s="311" t="str">
        <x:v>Record the exact settings and seed identifier.</x:v>
      </x:c>
      <x:c r="C6" s="312" t="str"/>
      <x:c r="D6" s="312" t="str"/>
      <x:c r="E6" s="312" t="str"/>
      <x:c r="F6" s="313" t="str"/>
      <x:c r="G6" s="329" t="str">
        <x:v>1</x:v>
      </x:c>
      <x:c r="H6" s="311" t="str">
        <x:v>Which decision saved the most time or resources?</x:v>
      </x:c>
      <x:c r="I6" s="312" t="str"/>
      <x:c r="J6" s="312" t="str"/>
      <x:c r="K6" s="312" t="str"/>
      <x:c r="L6" s="313" t="str"/>
      <x:c r="M6" s="306"/>
      <x:c r="N6" s="306"/>
      <x:c r="O6" s="306"/>
      <x:c r="P6" s="306"/>
      <x:c r="Q6" s="306"/>
    </x:row>
    <x:row r="7">
      <x:c r="A7" s="329" t="str">
        <x:v>☐</x:v>
      </x:c>
      <x:c r="B7" s="317" t="str">
        <x:v>Choose the session goal: finish, learn, PB, or no-reset.</x:v>
      </x:c>
      <x:c r="C7" s="318" t="str"/>
      <x:c r="D7" s="318" t="str"/>
      <x:c r="E7" s="318" t="str"/>
      <x:c r="F7" s="319" t="str"/>
      <x:c r="G7" s="329" t="str">
        <x:v>2</x:v>
      </x:c>
      <x:c r="H7" s="317" t="str">
        <x:v>Which decision caused the largest loss?</x:v>
      </x:c>
      <x:c r="I7" s="318" t="str"/>
      <x:c r="J7" s="318" t="str"/>
      <x:c r="K7" s="318" t="str"/>
      <x:c r="L7" s="319" t="str"/>
      <x:c r="M7" s="306"/>
      <x:c r="N7" s="306"/>
      <x:c r="O7" s="306"/>
      <x:c r="P7" s="306"/>
      <x:c r="Q7" s="306"/>
    </x:row>
    <x:row r="8">
      <x:c r="A8" s="329" t="str">
        <x:v>☐</x:v>
      </x:c>
      <x:c r="B8" s="317" t="str">
        <x:v>Write three route priorities before starting.</x:v>
      </x:c>
      <x:c r="C8" s="318" t="str"/>
      <x:c r="D8" s="318" t="str"/>
      <x:c r="E8" s="318" t="str"/>
      <x:c r="F8" s="319" t="str"/>
      <x:c r="G8" s="329" t="str">
        <x:v>3</x:v>
      </x:c>
      <x:c r="H8" s="317" t="str">
        <x:v>Which level or condition surprised you?</x:v>
      </x:c>
      <x:c r="I8" s="318" t="str"/>
      <x:c r="J8" s="318" t="str"/>
      <x:c r="K8" s="318" t="str"/>
      <x:c r="L8" s="319" t="str"/>
      <x:c r="M8" s="306"/>
      <x:c r="N8" s="306"/>
      <x:c r="O8" s="306"/>
      <x:c r="P8" s="306"/>
      <x:c r="Q8" s="306"/>
    </x:row>
    <x:row r="9">
      <x:c r="A9" s="329" t="str">
        <x:v>☐</x:v>
      </x:c>
      <x:c r="B9" s="317" t="str">
        <x:v>Decide the rule for using rare power-ups.</x:v>
      </x:c>
      <x:c r="C9" s="318" t="str"/>
      <x:c r="D9" s="318" t="str"/>
      <x:c r="E9" s="318" t="str"/>
      <x:c r="F9" s="319" t="str"/>
      <x:c r="G9" s="329" t="str">
        <x:v>4</x:v>
      </x:c>
      <x:c r="H9" s="317" t="str">
        <x:v>Which item was wasted or underused?</x:v>
      </x:c>
      <x:c r="I9" s="318" t="str"/>
      <x:c r="J9" s="318" t="str"/>
      <x:c r="K9" s="318" t="str"/>
      <x:c r="L9" s="319" t="str"/>
      <x:c r="M9" s="306"/>
      <x:c r="N9" s="306"/>
      <x:c r="O9" s="306"/>
      <x:c r="P9" s="306"/>
      <x:c r="Q9" s="306"/>
    </x:row>
    <x:row r="10">
      <x:c r="A10" s="329" t="str">
        <x:v>☐</x:v>
      </x:c>
      <x:c r="B10" s="324" t="str">
        <x:v>Commit to a reset rule before mistakes happen.</x:v>
      </x:c>
      <x:c r="C10" s="325" t="str"/>
      <x:c r="D10" s="325" t="str"/>
      <x:c r="E10" s="325" t="str"/>
      <x:c r="F10" s="326" t="str"/>
      <x:c r="G10" s="329" t="str">
        <x:v>5</x:v>
      </x:c>
      <x:c r="H10" s="324" t="str">
        <x:v>What one experiment should the next seed test?</x:v>
      </x:c>
      <x:c r="I10" s="325" t="str"/>
      <x:c r="J10" s="325" t="str"/>
      <x:c r="K10" s="325" t="str"/>
      <x:c r="L10" s="326" t="str"/>
      <x:c r="M10" s="306"/>
      <x:c r="N10" s="306"/>
      <x:c r="O10" s="306"/>
      <x:c r="P10" s="306"/>
      <x:c r="Q10" s="306"/>
    </x:row>
    <x:row r="11">
      <x:c r="A11" s="306"/>
      <x:c r="B11" s="306"/>
      <x:c r="C11" s="306"/>
      <x:c r="D11" s="306"/>
      <x:c r="E11" s="306"/>
      <x:c r="F11" s="306"/>
      <x:c r="G11" s="306"/>
      <x:c r="H11" s="306"/>
      <x:c r="I11" s="306"/>
      <x:c r="J11" s="306"/>
      <x:c r="K11" s="306"/>
      <x:c r="L11" s="306"/>
      <x:c r="M11" s="306"/>
      <x:c r="N11" s="306"/>
      <x:c r="O11" s="306"/>
      <x:c r="P11" s="306"/>
      <x:c r="Q11" s="306"/>
    </x:row>
    <x:row r="12">
      <x:c r="A12" s="332" t="str">
        <x:v>Date</x:v>
      </x:c>
      <x:c r="B12" s="333" t="str">
        <x:v>Seed ID</x:v>
      </x:c>
      <x:c r="C12" s="333" t="str">
        <x:v>Settings / Rules</x:v>
      </x:c>
      <x:c r="D12" s="333" t="str">
        <x:v>Session Goal</x:v>
      </x:c>
      <x:c r="E12" s="333" t="str">
        <x:v>Finished?</x:v>
      </x:c>
      <x:c r="F12" s="333" t="str">
        <x:v>Final Time</x:v>
      </x:c>
      <x:c r="G12" s="333" t="str">
        <x:v>Deaths</x:v>
      </x:c>
      <x:c r="H12" s="333" t="str">
        <x:v>Hardest Level / Type</x:v>
      </x:c>
      <x:c r="I12" s="333" t="str">
        <x:v>Best Route Decision</x:v>
      </x:c>
      <x:c r="J12" s="333" t="str">
        <x:v>Largest Waste</x:v>
      </x:c>
      <x:c r="K12" s="333" t="str">
        <x:v>New Discovery</x:v>
      </x:c>
      <x:c r="L12" s="334" t="str">
        <x:v>Next Experiment</x:v>
      </x:c>
      <x:c r="M12" s="306"/>
      <x:c r="N12" s="306"/>
      <x:c r="O12" s="306"/>
      <x:c r="P12" s="306"/>
      <x:c r="Q12" s="306"/>
    </x:row>
    <x:row r="13" ht="38" customHeight="1">
      <x:c r="A13" s="405"/>
      <x:c r="B13" s="312"/>
      <x:c r="C13" s="312"/>
      <x:c r="D13" s="312"/>
      <x:c r="E13" s="312"/>
      <x:c r="F13" s="406"/>
      <x:c r="G13" s="312"/>
      <x:c r="H13" s="312"/>
      <x:c r="I13" s="312"/>
      <x:c r="J13" s="312"/>
      <x:c r="K13" s="312"/>
      <x:c r="L13" s="313"/>
      <x:c r="M13" s="306"/>
      <x:c r="N13" s="306"/>
      <x:c r="O13" s="306"/>
      <x:c r="P13" s="306"/>
      <x:c r="Q13" s="306"/>
    </x:row>
    <x:row r="14" ht="38" customHeight="1">
      <x:c r="A14" s="408"/>
      <x:c r="B14" s="318"/>
      <x:c r="C14" s="318"/>
      <x:c r="D14" s="318"/>
      <x:c r="E14" s="318"/>
      <x:c r="F14" s="409"/>
      <x:c r="G14" s="318"/>
      <x:c r="H14" s="318"/>
      <x:c r="I14" s="318"/>
      <x:c r="J14" s="318"/>
      <x:c r="K14" s="318"/>
      <x:c r="L14" s="319"/>
      <x:c r="M14" s="306"/>
      <x:c r="N14" s="306"/>
      <x:c r="O14" s="306"/>
      <x:c r="P14" s="306"/>
      <x:c r="Q14" s="306"/>
    </x:row>
    <x:row r="15" ht="38" customHeight="1">
      <x:c r="A15" s="408"/>
      <x:c r="B15" s="318"/>
      <x:c r="C15" s="318"/>
      <x:c r="D15" s="318"/>
      <x:c r="E15" s="318"/>
      <x:c r="F15" s="409"/>
      <x:c r="G15" s="318"/>
      <x:c r="H15" s="318"/>
      <x:c r="I15" s="318"/>
      <x:c r="J15" s="318"/>
      <x:c r="K15" s="318"/>
      <x:c r="L15" s="319"/>
      <x:c r="M15" s="306"/>
      <x:c r="N15" s="306"/>
      <x:c r="O15" s="306"/>
      <x:c r="P15" s="306"/>
      <x:c r="Q15" s="306"/>
    </x:row>
    <x:row r="16" ht="38" customHeight="1">
      <x:c r="A16" s="408"/>
      <x:c r="B16" s="318"/>
      <x:c r="C16" s="318"/>
      <x:c r="D16" s="318"/>
      <x:c r="E16" s="318"/>
      <x:c r="F16" s="409"/>
      <x:c r="G16" s="318"/>
      <x:c r="H16" s="318"/>
      <x:c r="I16" s="318"/>
      <x:c r="J16" s="318"/>
      <x:c r="K16" s="318"/>
      <x:c r="L16" s="319"/>
      <x:c r="M16" s="306"/>
      <x:c r="N16" s="306"/>
      <x:c r="O16" s="306"/>
      <x:c r="P16" s="306"/>
      <x:c r="Q16" s="306"/>
    </x:row>
    <x:row r="17" ht="38" customHeight="1">
      <x:c r="A17" s="408"/>
      <x:c r="B17" s="318"/>
      <x:c r="C17" s="318"/>
      <x:c r="D17" s="318"/>
      <x:c r="E17" s="318"/>
      <x:c r="F17" s="409"/>
      <x:c r="G17" s="318"/>
      <x:c r="H17" s="318"/>
      <x:c r="I17" s="318"/>
      <x:c r="J17" s="318"/>
      <x:c r="K17" s="318"/>
      <x:c r="L17" s="319"/>
      <x:c r="M17" s="306"/>
      <x:c r="N17" s="306"/>
      <x:c r="O17" s="306"/>
      <x:c r="P17" s="306"/>
      <x:c r="Q17" s="306"/>
    </x:row>
    <x:row r="18" ht="38" customHeight="1">
      <x:c r="A18" s="408"/>
      <x:c r="B18" s="318"/>
      <x:c r="C18" s="318"/>
      <x:c r="D18" s="318"/>
      <x:c r="E18" s="318"/>
      <x:c r="F18" s="409"/>
      <x:c r="G18" s="318"/>
      <x:c r="H18" s="318"/>
      <x:c r="I18" s="318"/>
      <x:c r="J18" s="318"/>
      <x:c r="K18" s="318"/>
      <x:c r="L18" s="319"/>
      <x:c r="M18" s="306"/>
      <x:c r="N18" s="306"/>
      <x:c r="O18" s="306"/>
      <x:c r="P18" s="306"/>
      <x:c r="Q18" s="306"/>
    </x:row>
    <x:row r="19" ht="38" customHeight="1">
      <x:c r="A19" s="408"/>
      <x:c r="B19" s="318"/>
      <x:c r="C19" s="318"/>
      <x:c r="D19" s="318"/>
      <x:c r="E19" s="318"/>
      <x:c r="F19" s="409"/>
      <x:c r="G19" s="318"/>
      <x:c r="H19" s="318"/>
      <x:c r="I19" s="318"/>
      <x:c r="J19" s="318"/>
      <x:c r="K19" s="318"/>
      <x:c r="L19" s="319"/>
      <x:c r="M19" s="306"/>
      <x:c r="N19" s="306"/>
      <x:c r="O19" s="306"/>
      <x:c r="P19" s="306"/>
      <x:c r="Q19" s="306"/>
    </x:row>
    <x:row r="20" ht="38" customHeight="1">
      <x:c r="A20" s="408"/>
      <x:c r="B20" s="318"/>
      <x:c r="C20" s="318"/>
      <x:c r="D20" s="318"/>
      <x:c r="E20" s="318"/>
      <x:c r="F20" s="409"/>
      <x:c r="G20" s="318"/>
      <x:c r="H20" s="318"/>
      <x:c r="I20" s="318"/>
      <x:c r="J20" s="318"/>
      <x:c r="K20" s="318"/>
      <x:c r="L20" s="319"/>
      <x:c r="M20" s="306"/>
      <x:c r="N20" s="306"/>
      <x:c r="O20" s="306"/>
      <x:c r="P20" s="306"/>
      <x:c r="Q20" s="306"/>
    </x:row>
    <x:row r="21" ht="38" customHeight="1">
      <x:c r="A21" s="408"/>
      <x:c r="B21" s="318"/>
      <x:c r="C21" s="318"/>
      <x:c r="D21" s="318"/>
      <x:c r="E21" s="318"/>
      <x:c r="F21" s="409"/>
      <x:c r="G21" s="318"/>
      <x:c r="H21" s="318"/>
      <x:c r="I21" s="318"/>
      <x:c r="J21" s="318"/>
      <x:c r="K21" s="318"/>
      <x:c r="L21" s="319"/>
      <x:c r="M21" s="306"/>
      <x:c r="N21" s="306"/>
      <x:c r="O21" s="306"/>
      <x:c r="P21" s="306"/>
      <x:c r="Q21" s="306"/>
    </x:row>
    <x:row r="22" ht="38" customHeight="1">
      <x:c r="A22" s="408"/>
      <x:c r="B22" s="318"/>
      <x:c r="C22" s="318"/>
      <x:c r="D22" s="318"/>
      <x:c r="E22" s="318"/>
      <x:c r="F22" s="409"/>
      <x:c r="G22" s="318"/>
      <x:c r="H22" s="318"/>
      <x:c r="I22" s="318"/>
      <x:c r="J22" s="318"/>
      <x:c r="K22" s="318"/>
      <x:c r="L22" s="319"/>
      <x:c r="M22" s="306"/>
      <x:c r="N22" s="306"/>
      <x:c r="O22" s="306"/>
      <x:c r="P22" s="306"/>
      <x:c r="Q22" s="306"/>
    </x:row>
    <x:row r="23" ht="38" customHeight="1">
      <x:c r="A23" s="408"/>
      <x:c r="B23" s="318"/>
      <x:c r="C23" s="318"/>
      <x:c r="D23" s="318"/>
      <x:c r="E23" s="318"/>
      <x:c r="F23" s="409"/>
      <x:c r="G23" s="318"/>
      <x:c r="H23" s="318"/>
      <x:c r="I23" s="318"/>
      <x:c r="J23" s="318"/>
      <x:c r="K23" s="318"/>
      <x:c r="L23" s="319"/>
      <x:c r="M23" s="306"/>
      <x:c r="N23" s="306"/>
      <x:c r="O23" s="306"/>
      <x:c r="P23" s="306"/>
      <x:c r="Q23" s="306"/>
    </x:row>
    <x:row r="24" ht="38" customHeight="1">
      <x:c r="A24" s="408"/>
      <x:c r="B24" s="318"/>
      <x:c r="C24" s="318"/>
      <x:c r="D24" s="318"/>
      <x:c r="E24" s="318"/>
      <x:c r="F24" s="409"/>
      <x:c r="G24" s="318"/>
      <x:c r="H24" s="318"/>
      <x:c r="I24" s="318"/>
      <x:c r="J24" s="318"/>
      <x:c r="K24" s="318"/>
      <x:c r="L24" s="319"/>
      <x:c r="M24" s="306"/>
      <x:c r="N24" s="306"/>
      <x:c r="O24" s="306"/>
      <x:c r="P24" s="306"/>
      <x:c r="Q24" s="306"/>
    </x:row>
    <x:row r="25" ht="38" customHeight="1">
      <x:c r="A25" s="408"/>
      <x:c r="B25" s="318"/>
      <x:c r="C25" s="318"/>
      <x:c r="D25" s="318"/>
      <x:c r="E25" s="318"/>
      <x:c r="F25" s="409"/>
      <x:c r="G25" s="318"/>
      <x:c r="H25" s="318"/>
      <x:c r="I25" s="318"/>
      <x:c r="J25" s="318"/>
      <x:c r="K25" s="318"/>
      <x:c r="L25" s="319"/>
      <x:c r="M25" s="306"/>
      <x:c r="N25" s="306"/>
      <x:c r="O25" s="306"/>
      <x:c r="P25" s="306"/>
      <x:c r="Q25" s="306"/>
    </x:row>
    <x:row r="26" ht="38" customHeight="1">
      <x:c r="A26" s="408"/>
      <x:c r="B26" s="318"/>
      <x:c r="C26" s="318"/>
      <x:c r="D26" s="318"/>
      <x:c r="E26" s="318"/>
      <x:c r="F26" s="409"/>
      <x:c r="G26" s="318"/>
      <x:c r="H26" s="318"/>
      <x:c r="I26" s="318"/>
      <x:c r="J26" s="318"/>
      <x:c r="K26" s="318"/>
      <x:c r="L26" s="319"/>
      <x:c r="M26" s="306"/>
      <x:c r="N26" s="306"/>
      <x:c r="O26" s="306"/>
      <x:c r="P26" s="306"/>
      <x:c r="Q26" s="306"/>
    </x:row>
    <x:row r="27" ht="38" customHeight="1">
      <x:c r="A27" s="408"/>
      <x:c r="B27" s="318"/>
      <x:c r="C27" s="318"/>
      <x:c r="D27" s="318"/>
      <x:c r="E27" s="318"/>
      <x:c r="F27" s="409"/>
      <x:c r="G27" s="318"/>
      <x:c r="H27" s="318"/>
      <x:c r="I27" s="318"/>
      <x:c r="J27" s="318"/>
      <x:c r="K27" s="318"/>
      <x:c r="L27" s="319"/>
      <x:c r="M27" s="306"/>
      <x:c r="N27" s="306"/>
      <x:c r="O27" s="306"/>
      <x:c r="P27" s="306"/>
      <x:c r="Q27" s="306"/>
    </x:row>
    <x:row r="28" ht="38" customHeight="1">
      <x:c r="A28" s="408"/>
      <x:c r="B28" s="318"/>
      <x:c r="C28" s="318"/>
      <x:c r="D28" s="318"/>
      <x:c r="E28" s="318"/>
      <x:c r="F28" s="409"/>
      <x:c r="G28" s="318"/>
      <x:c r="H28" s="318"/>
      <x:c r="I28" s="318"/>
      <x:c r="J28" s="318"/>
      <x:c r="K28" s="318"/>
      <x:c r="L28" s="319"/>
      <x:c r="M28" s="306"/>
      <x:c r="N28" s="306"/>
      <x:c r="O28" s="306"/>
      <x:c r="P28" s="306"/>
      <x:c r="Q28" s="306"/>
    </x:row>
    <x:row r="29" ht="38" customHeight="1">
      <x:c r="A29" s="408"/>
      <x:c r="B29" s="318"/>
      <x:c r="C29" s="318"/>
      <x:c r="D29" s="318"/>
      <x:c r="E29" s="318"/>
      <x:c r="F29" s="409"/>
      <x:c r="G29" s="318"/>
      <x:c r="H29" s="318"/>
      <x:c r="I29" s="318"/>
      <x:c r="J29" s="318"/>
      <x:c r="K29" s="318"/>
      <x:c r="L29" s="319"/>
      <x:c r="M29" s="306"/>
      <x:c r="N29" s="306"/>
      <x:c r="O29" s="306"/>
      <x:c r="P29" s="306"/>
      <x:c r="Q29" s="306"/>
    </x:row>
    <x:row r="30" ht="38" customHeight="1">
      <x:c r="A30" s="408"/>
      <x:c r="B30" s="318"/>
      <x:c r="C30" s="318"/>
      <x:c r="D30" s="318"/>
      <x:c r="E30" s="318"/>
      <x:c r="F30" s="409"/>
      <x:c r="G30" s="318"/>
      <x:c r="H30" s="318"/>
      <x:c r="I30" s="318"/>
      <x:c r="J30" s="318"/>
      <x:c r="K30" s="318"/>
      <x:c r="L30" s="319"/>
      <x:c r="M30" s="306"/>
      <x:c r="N30" s="306"/>
      <x:c r="O30" s="306"/>
      <x:c r="P30" s="306"/>
      <x:c r="Q30" s="306"/>
    </x:row>
    <x:row r="31" ht="38" customHeight="1">
      <x:c r="A31" s="408"/>
      <x:c r="B31" s="318"/>
      <x:c r="C31" s="318"/>
      <x:c r="D31" s="318"/>
      <x:c r="E31" s="318"/>
      <x:c r="F31" s="409"/>
      <x:c r="G31" s="318"/>
      <x:c r="H31" s="318"/>
      <x:c r="I31" s="318"/>
      <x:c r="J31" s="318"/>
      <x:c r="K31" s="318"/>
      <x:c r="L31" s="319"/>
      <x:c r="M31" s="306"/>
      <x:c r="N31" s="306"/>
      <x:c r="O31" s="306"/>
      <x:c r="P31" s="306"/>
      <x:c r="Q31" s="306"/>
    </x:row>
    <x:row r="32" ht="38" customHeight="1">
      <x:c r="A32" s="408"/>
      <x:c r="B32" s="318"/>
      <x:c r="C32" s="318"/>
      <x:c r="D32" s="318"/>
      <x:c r="E32" s="318"/>
      <x:c r="F32" s="409"/>
      <x:c r="G32" s="318"/>
      <x:c r="H32" s="318"/>
      <x:c r="I32" s="318"/>
      <x:c r="J32" s="318"/>
      <x:c r="K32" s="318"/>
      <x:c r="L32" s="319"/>
      <x:c r="M32" s="306"/>
      <x:c r="N32" s="306"/>
      <x:c r="O32" s="306"/>
      <x:c r="P32" s="306"/>
      <x:c r="Q32" s="306"/>
    </x:row>
    <x:row r="33" ht="38" customHeight="1">
      <x:c r="A33" s="408"/>
      <x:c r="B33" s="318"/>
      <x:c r="C33" s="318"/>
      <x:c r="D33" s="318"/>
      <x:c r="E33" s="318"/>
      <x:c r="F33" s="409"/>
      <x:c r="G33" s="318"/>
      <x:c r="H33" s="318"/>
      <x:c r="I33" s="318"/>
      <x:c r="J33" s="318"/>
      <x:c r="K33" s="318"/>
      <x:c r="L33" s="319"/>
      <x:c r="M33" s="306"/>
      <x:c r="N33" s="306"/>
      <x:c r="O33" s="306"/>
      <x:c r="P33" s="306"/>
      <x:c r="Q33" s="306"/>
    </x:row>
    <x:row r="34" ht="38" customHeight="1">
      <x:c r="A34" s="408"/>
      <x:c r="B34" s="318"/>
      <x:c r="C34" s="318"/>
      <x:c r="D34" s="318"/>
      <x:c r="E34" s="318"/>
      <x:c r="F34" s="409"/>
      <x:c r="G34" s="318"/>
      <x:c r="H34" s="318"/>
      <x:c r="I34" s="318"/>
      <x:c r="J34" s="318"/>
      <x:c r="K34" s="318"/>
      <x:c r="L34" s="319"/>
      <x:c r="M34" s="306"/>
      <x:c r="N34" s="306"/>
      <x:c r="O34" s="306"/>
      <x:c r="P34" s="306"/>
      <x:c r="Q34" s="306"/>
    </x:row>
    <x:row r="35" ht="38" customHeight="1">
      <x:c r="A35" s="408"/>
      <x:c r="B35" s="318"/>
      <x:c r="C35" s="318"/>
      <x:c r="D35" s="318"/>
      <x:c r="E35" s="318"/>
      <x:c r="F35" s="409"/>
      <x:c r="G35" s="318"/>
      <x:c r="H35" s="318"/>
      <x:c r="I35" s="318"/>
      <x:c r="J35" s="318"/>
      <x:c r="K35" s="318"/>
      <x:c r="L35" s="319"/>
      <x:c r="M35" s="306"/>
      <x:c r="N35" s="306"/>
      <x:c r="O35" s="306"/>
      <x:c r="P35" s="306"/>
      <x:c r="Q35" s="306"/>
    </x:row>
    <x:row r="36" ht="38" customHeight="1">
      <x:c r="A36" s="408"/>
      <x:c r="B36" s="318"/>
      <x:c r="C36" s="318"/>
      <x:c r="D36" s="318"/>
      <x:c r="E36" s="318"/>
      <x:c r="F36" s="409"/>
      <x:c r="G36" s="318"/>
      <x:c r="H36" s="318"/>
      <x:c r="I36" s="318"/>
      <x:c r="J36" s="318"/>
      <x:c r="K36" s="318"/>
      <x:c r="L36" s="319"/>
      <x:c r="M36" s="306"/>
      <x:c r="N36" s="306"/>
      <x:c r="O36" s="306"/>
      <x:c r="P36" s="306"/>
      <x:c r="Q36" s="306"/>
    </x:row>
    <x:row r="37" ht="38" customHeight="1">
      <x:c r="A37" s="408"/>
      <x:c r="B37" s="318"/>
      <x:c r="C37" s="318"/>
      <x:c r="D37" s="318"/>
      <x:c r="E37" s="318"/>
      <x:c r="F37" s="409"/>
      <x:c r="G37" s="318"/>
      <x:c r="H37" s="318"/>
      <x:c r="I37" s="318"/>
      <x:c r="J37" s="318"/>
      <x:c r="K37" s="318"/>
      <x:c r="L37" s="319"/>
      <x:c r="M37" s="306"/>
      <x:c r="N37" s="306"/>
      <x:c r="O37" s="306"/>
      <x:c r="P37" s="306"/>
      <x:c r="Q37" s="306"/>
    </x:row>
    <x:row r="38" ht="38" customHeight="1">
      <x:c r="A38" s="408"/>
      <x:c r="B38" s="318"/>
      <x:c r="C38" s="318"/>
      <x:c r="D38" s="318"/>
      <x:c r="E38" s="318"/>
      <x:c r="F38" s="409"/>
      <x:c r="G38" s="318"/>
      <x:c r="H38" s="318"/>
      <x:c r="I38" s="318"/>
      <x:c r="J38" s="318"/>
      <x:c r="K38" s="318"/>
      <x:c r="L38" s="319"/>
      <x:c r="M38" s="306"/>
      <x:c r="N38" s="306"/>
      <x:c r="O38" s="306"/>
      <x:c r="P38" s="306"/>
      <x:c r="Q38" s="306"/>
    </x:row>
    <x:row r="39" ht="38" customHeight="1">
      <x:c r="A39" s="408"/>
      <x:c r="B39" s="318"/>
      <x:c r="C39" s="318"/>
      <x:c r="D39" s="318"/>
      <x:c r="E39" s="318"/>
      <x:c r="F39" s="409"/>
      <x:c r="G39" s="318"/>
      <x:c r="H39" s="318"/>
      <x:c r="I39" s="318"/>
      <x:c r="J39" s="318"/>
      <x:c r="K39" s="318"/>
      <x:c r="L39" s="319"/>
      <x:c r="M39" s="306"/>
      <x:c r="N39" s="306"/>
      <x:c r="O39" s="306"/>
      <x:c r="P39" s="306"/>
      <x:c r="Q39" s="306"/>
    </x:row>
    <x:row r="40" ht="38" customHeight="1">
      <x:c r="A40" s="408"/>
      <x:c r="B40" s="318"/>
      <x:c r="C40" s="318"/>
      <x:c r="D40" s="318"/>
      <x:c r="E40" s="318"/>
      <x:c r="F40" s="409"/>
      <x:c r="G40" s="318"/>
      <x:c r="H40" s="318"/>
      <x:c r="I40" s="318"/>
      <x:c r="J40" s="318"/>
      <x:c r="K40" s="318"/>
      <x:c r="L40" s="319"/>
      <x:c r="M40" s="306"/>
      <x:c r="N40" s="306"/>
      <x:c r="O40" s="306"/>
      <x:c r="P40" s="306"/>
      <x:c r="Q40" s="306"/>
    </x:row>
    <x:row r="41" ht="38" customHeight="1">
      <x:c r="A41" s="408"/>
      <x:c r="B41" s="318"/>
      <x:c r="C41" s="318"/>
      <x:c r="D41" s="318"/>
      <x:c r="E41" s="318"/>
      <x:c r="F41" s="409"/>
      <x:c r="G41" s="318"/>
      <x:c r="H41" s="318"/>
      <x:c r="I41" s="318"/>
      <x:c r="J41" s="318"/>
      <x:c r="K41" s="318"/>
      <x:c r="L41" s="319"/>
      <x:c r="M41" s="306"/>
      <x:c r="N41" s="306"/>
      <x:c r="O41" s="306"/>
      <x:c r="P41" s="306"/>
      <x:c r="Q41" s="306"/>
    </x:row>
    <x:row r="42" ht="38" customHeight="1">
      <x:c r="A42" s="408"/>
      <x:c r="B42" s="318"/>
      <x:c r="C42" s="318"/>
      <x:c r="D42" s="318"/>
      <x:c r="E42" s="318"/>
      <x:c r="F42" s="409"/>
      <x:c r="G42" s="318"/>
      <x:c r="H42" s="318"/>
      <x:c r="I42" s="318"/>
      <x:c r="J42" s="318"/>
      <x:c r="K42" s="318"/>
      <x:c r="L42" s="319"/>
      <x:c r="M42" s="306"/>
      <x:c r="N42" s="306"/>
      <x:c r="O42" s="306"/>
      <x:c r="P42" s="306"/>
      <x:c r="Q42" s="306"/>
    </x:row>
    <x:row r="43" ht="38" customHeight="1">
      <x:c r="A43" s="408"/>
      <x:c r="B43" s="318"/>
      <x:c r="C43" s="318"/>
      <x:c r="D43" s="318"/>
      <x:c r="E43" s="318"/>
      <x:c r="F43" s="409"/>
      <x:c r="G43" s="318"/>
      <x:c r="H43" s="318"/>
      <x:c r="I43" s="318"/>
      <x:c r="J43" s="318"/>
      <x:c r="K43" s="318"/>
      <x:c r="L43" s="319"/>
      <x:c r="M43" s="306"/>
      <x:c r="N43" s="306"/>
      <x:c r="O43" s="306"/>
      <x:c r="P43" s="306"/>
      <x:c r="Q43" s="306"/>
    </x:row>
    <x:row r="44" ht="38" customHeight="1">
      <x:c r="A44" s="408"/>
      <x:c r="B44" s="318"/>
      <x:c r="C44" s="318"/>
      <x:c r="D44" s="318"/>
      <x:c r="E44" s="318"/>
      <x:c r="F44" s="409"/>
      <x:c r="G44" s="318"/>
      <x:c r="H44" s="318"/>
      <x:c r="I44" s="318"/>
      <x:c r="J44" s="318"/>
      <x:c r="K44" s="318"/>
      <x:c r="L44" s="319"/>
      <x:c r="M44" s="306"/>
      <x:c r="N44" s="306"/>
      <x:c r="O44" s="306"/>
      <x:c r="P44" s="306"/>
      <x:c r="Q44" s="306"/>
    </x:row>
    <x:row r="45" ht="38" customHeight="1">
      <x:c r="A45" s="408"/>
      <x:c r="B45" s="318"/>
      <x:c r="C45" s="318"/>
      <x:c r="D45" s="318"/>
      <x:c r="E45" s="318"/>
      <x:c r="F45" s="409"/>
      <x:c r="G45" s="318"/>
      <x:c r="H45" s="318"/>
      <x:c r="I45" s="318"/>
      <x:c r="J45" s="318"/>
      <x:c r="K45" s="318"/>
      <x:c r="L45" s="319"/>
      <x:c r="M45" s="306"/>
      <x:c r="N45" s="306"/>
      <x:c r="O45" s="306"/>
      <x:c r="P45" s="306"/>
      <x:c r="Q45" s="306"/>
    </x:row>
    <x:row r="46" ht="38" customHeight="1">
      <x:c r="A46" s="408"/>
      <x:c r="B46" s="318"/>
      <x:c r="C46" s="318"/>
      <x:c r="D46" s="318"/>
      <x:c r="E46" s="318"/>
      <x:c r="F46" s="409"/>
      <x:c r="G46" s="318"/>
      <x:c r="H46" s="318"/>
      <x:c r="I46" s="318"/>
      <x:c r="J46" s="318"/>
      <x:c r="K46" s="318"/>
      <x:c r="L46" s="319"/>
      <x:c r="M46" s="306"/>
      <x:c r="N46" s="306"/>
      <x:c r="O46" s="306"/>
      <x:c r="P46" s="306"/>
      <x:c r="Q46" s="306"/>
    </x:row>
    <x:row r="47" ht="38" customHeight="1">
      <x:c r="A47" s="408"/>
      <x:c r="B47" s="318"/>
      <x:c r="C47" s="318"/>
      <x:c r="D47" s="318"/>
      <x:c r="E47" s="318"/>
      <x:c r="F47" s="409"/>
      <x:c r="G47" s="318"/>
      <x:c r="H47" s="318"/>
      <x:c r="I47" s="318"/>
      <x:c r="J47" s="318"/>
      <x:c r="K47" s="318"/>
      <x:c r="L47" s="319"/>
      <x:c r="M47" s="306"/>
      <x:c r="N47" s="306"/>
      <x:c r="O47" s="306"/>
      <x:c r="P47" s="306"/>
      <x:c r="Q47" s="306"/>
    </x:row>
    <x:row r="48" ht="38" customHeight="1">
      <x:c r="A48" s="408"/>
      <x:c r="B48" s="318"/>
      <x:c r="C48" s="318"/>
      <x:c r="D48" s="318"/>
      <x:c r="E48" s="318"/>
      <x:c r="F48" s="409"/>
      <x:c r="G48" s="318"/>
      <x:c r="H48" s="318"/>
      <x:c r="I48" s="318"/>
      <x:c r="J48" s="318"/>
      <x:c r="K48" s="318"/>
      <x:c r="L48" s="319"/>
      <x:c r="M48" s="306"/>
      <x:c r="N48" s="306"/>
      <x:c r="O48" s="306"/>
      <x:c r="P48" s="306"/>
      <x:c r="Q48" s="306"/>
    </x:row>
    <x:row r="49" ht="38" customHeight="1">
      <x:c r="A49" s="408"/>
      <x:c r="B49" s="318"/>
      <x:c r="C49" s="318"/>
      <x:c r="D49" s="318"/>
      <x:c r="E49" s="318"/>
      <x:c r="F49" s="409"/>
      <x:c r="G49" s="318"/>
      <x:c r="H49" s="318"/>
      <x:c r="I49" s="318"/>
      <x:c r="J49" s="318"/>
      <x:c r="K49" s="318"/>
      <x:c r="L49" s="319"/>
      <x:c r="M49" s="306"/>
      <x:c r="N49" s="306"/>
      <x:c r="O49" s="306"/>
      <x:c r="P49" s="306"/>
      <x:c r="Q49" s="306"/>
    </x:row>
    <x:row r="50" ht="38" customHeight="1">
      <x:c r="A50" s="408"/>
      <x:c r="B50" s="318"/>
      <x:c r="C50" s="318"/>
      <x:c r="D50" s="318"/>
      <x:c r="E50" s="318"/>
      <x:c r="F50" s="409"/>
      <x:c r="G50" s="318"/>
      <x:c r="H50" s="318"/>
      <x:c r="I50" s="318"/>
      <x:c r="J50" s="318"/>
      <x:c r="K50" s="318"/>
      <x:c r="L50" s="319"/>
      <x:c r="M50" s="306"/>
      <x:c r="N50" s="306"/>
      <x:c r="O50" s="306"/>
      <x:c r="P50" s="306"/>
      <x:c r="Q50" s="306"/>
    </x:row>
    <x:row r="51" ht="38" customHeight="1">
      <x:c r="A51" s="408"/>
      <x:c r="B51" s="318"/>
      <x:c r="C51" s="318"/>
      <x:c r="D51" s="318"/>
      <x:c r="E51" s="318"/>
      <x:c r="F51" s="409"/>
      <x:c r="G51" s="318"/>
      <x:c r="H51" s="318"/>
      <x:c r="I51" s="318"/>
      <x:c r="J51" s="318"/>
      <x:c r="K51" s="318"/>
      <x:c r="L51" s="319"/>
      <x:c r="M51" s="306"/>
      <x:c r="N51" s="306"/>
      <x:c r="O51" s="306"/>
      <x:c r="P51" s="306"/>
      <x:c r="Q51" s="306"/>
    </x:row>
    <x:row r="52" ht="38" customHeight="1">
      <x:c r="A52" s="408"/>
      <x:c r="B52" s="318"/>
      <x:c r="C52" s="318"/>
      <x:c r="D52" s="318"/>
      <x:c r="E52" s="318"/>
      <x:c r="F52" s="409"/>
      <x:c r="G52" s="318"/>
      <x:c r="H52" s="318"/>
      <x:c r="I52" s="318"/>
      <x:c r="J52" s="318"/>
      <x:c r="K52" s="318"/>
      <x:c r="L52" s="319"/>
      <x:c r="M52" s="306"/>
      <x:c r="N52" s="306"/>
      <x:c r="O52" s="306"/>
      <x:c r="P52" s="306"/>
      <x:c r="Q52" s="306"/>
    </x:row>
    <x:row r="53" ht="38" customHeight="1">
      <x:c r="A53" s="408"/>
      <x:c r="B53" s="318"/>
      <x:c r="C53" s="318"/>
      <x:c r="D53" s="318"/>
      <x:c r="E53" s="318"/>
      <x:c r="F53" s="409"/>
      <x:c r="G53" s="318"/>
      <x:c r="H53" s="318"/>
      <x:c r="I53" s="318"/>
      <x:c r="J53" s="318"/>
      <x:c r="K53" s="318"/>
      <x:c r="L53" s="319"/>
      <x:c r="M53" s="306"/>
      <x:c r="N53" s="306"/>
      <x:c r="O53" s="306"/>
      <x:c r="P53" s="306"/>
      <x:c r="Q53" s="306"/>
    </x:row>
    <x:row r="54" ht="38" customHeight="1">
      <x:c r="A54" s="408"/>
      <x:c r="B54" s="318"/>
      <x:c r="C54" s="318"/>
      <x:c r="D54" s="318"/>
      <x:c r="E54" s="318"/>
      <x:c r="F54" s="409"/>
      <x:c r="G54" s="318"/>
      <x:c r="H54" s="318"/>
      <x:c r="I54" s="318"/>
      <x:c r="J54" s="318"/>
      <x:c r="K54" s="318"/>
      <x:c r="L54" s="319"/>
      <x:c r="M54" s="306"/>
      <x:c r="N54" s="306"/>
      <x:c r="O54" s="306"/>
      <x:c r="P54" s="306"/>
      <x:c r="Q54" s="306"/>
    </x:row>
    <x:row r="55" ht="38" customHeight="1">
      <x:c r="A55" s="408"/>
      <x:c r="B55" s="318"/>
      <x:c r="C55" s="318"/>
      <x:c r="D55" s="318"/>
      <x:c r="E55" s="318"/>
      <x:c r="F55" s="409"/>
      <x:c r="G55" s="318"/>
      <x:c r="H55" s="318"/>
      <x:c r="I55" s="318"/>
      <x:c r="J55" s="318"/>
      <x:c r="K55" s="318"/>
      <x:c r="L55" s="319"/>
      <x:c r="M55" s="306"/>
      <x:c r="N55" s="306"/>
      <x:c r="O55" s="306"/>
      <x:c r="P55" s="306"/>
      <x:c r="Q55" s="306"/>
    </x:row>
    <x:row r="56" ht="38" customHeight="1">
      <x:c r="A56" s="408"/>
      <x:c r="B56" s="318"/>
      <x:c r="C56" s="318"/>
      <x:c r="D56" s="318"/>
      <x:c r="E56" s="318"/>
      <x:c r="F56" s="409"/>
      <x:c r="G56" s="318"/>
      <x:c r="H56" s="318"/>
      <x:c r="I56" s="318"/>
      <x:c r="J56" s="318"/>
      <x:c r="K56" s="318"/>
      <x:c r="L56" s="319"/>
      <x:c r="M56" s="306"/>
      <x:c r="N56" s="306"/>
      <x:c r="O56" s="306"/>
      <x:c r="P56" s="306"/>
      <x:c r="Q56" s="306"/>
    </x:row>
    <x:row r="57" ht="38" customHeight="1">
      <x:c r="A57" s="408"/>
      <x:c r="B57" s="318"/>
      <x:c r="C57" s="318"/>
      <x:c r="D57" s="318"/>
      <x:c r="E57" s="318"/>
      <x:c r="F57" s="409"/>
      <x:c r="G57" s="318"/>
      <x:c r="H57" s="318"/>
      <x:c r="I57" s="318"/>
      <x:c r="J57" s="318"/>
      <x:c r="K57" s="318"/>
      <x:c r="L57" s="319"/>
      <x:c r="M57" s="306"/>
      <x:c r="N57" s="306"/>
      <x:c r="O57" s="306"/>
      <x:c r="P57" s="306"/>
      <x:c r="Q57" s="306"/>
    </x:row>
    <x:row r="58" ht="38" customHeight="1">
      <x:c r="A58" s="408"/>
      <x:c r="B58" s="318"/>
      <x:c r="C58" s="318"/>
      <x:c r="D58" s="318"/>
      <x:c r="E58" s="318"/>
      <x:c r="F58" s="409"/>
      <x:c r="G58" s="318"/>
      <x:c r="H58" s="318"/>
      <x:c r="I58" s="318"/>
      <x:c r="J58" s="318"/>
      <x:c r="K58" s="318"/>
      <x:c r="L58" s="319"/>
      <x:c r="M58" s="306"/>
      <x:c r="N58" s="306"/>
      <x:c r="O58" s="306"/>
      <x:c r="P58" s="306"/>
      <x:c r="Q58" s="306"/>
    </x:row>
    <x:row r="59" ht="38" customHeight="1">
      <x:c r="A59" s="408"/>
      <x:c r="B59" s="318"/>
      <x:c r="C59" s="318"/>
      <x:c r="D59" s="318"/>
      <x:c r="E59" s="318"/>
      <x:c r="F59" s="409"/>
      <x:c r="G59" s="318"/>
      <x:c r="H59" s="318"/>
      <x:c r="I59" s="318"/>
      <x:c r="J59" s="318"/>
      <x:c r="K59" s="318"/>
      <x:c r="L59" s="319"/>
      <x:c r="M59" s="306"/>
      <x:c r="N59" s="306"/>
      <x:c r="O59" s="306"/>
      <x:c r="P59" s="306"/>
      <x:c r="Q59" s="306"/>
    </x:row>
    <x:row r="60" ht="38" customHeight="1">
      <x:c r="A60" s="408"/>
      <x:c r="B60" s="318"/>
      <x:c r="C60" s="318"/>
      <x:c r="D60" s="318"/>
      <x:c r="E60" s="318"/>
      <x:c r="F60" s="409"/>
      <x:c r="G60" s="318"/>
      <x:c r="H60" s="318"/>
      <x:c r="I60" s="318"/>
      <x:c r="J60" s="318"/>
      <x:c r="K60" s="318"/>
      <x:c r="L60" s="319"/>
      <x:c r="M60" s="306"/>
      <x:c r="N60" s="306"/>
      <x:c r="O60" s="306"/>
      <x:c r="P60" s="306"/>
      <x:c r="Q60" s="306"/>
    </x:row>
    <x:row r="61" ht="38" customHeight="1">
      <x:c r="A61" s="408"/>
      <x:c r="B61" s="318"/>
      <x:c r="C61" s="318"/>
      <x:c r="D61" s="318"/>
      <x:c r="E61" s="318"/>
      <x:c r="F61" s="409"/>
      <x:c r="G61" s="318"/>
      <x:c r="H61" s="318"/>
      <x:c r="I61" s="318"/>
      <x:c r="J61" s="318"/>
      <x:c r="K61" s="318"/>
      <x:c r="L61" s="319"/>
      <x:c r="M61" s="306"/>
      <x:c r="N61" s="306"/>
      <x:c r="O61" s="306"/>
      <x:c r="P61" s="306"/>
      <x:c r="Q61" s="306"/>
    </x:row>
    <x:row r="62" ht="38" customHeight="1">
      <x:c r="A62" s="408"/>
      <x:c r="B62" s="318"/>
      <x:c r="C62" s="318"/>
      <x:c r="D62" s="318"/>
      <x:c r="E62" s="318"/>
      <x:c r="F62" s="409"/>
      <x:c r="G62" s="318"/>
      <x:c r="H62" s="318"/>
      <x:c r="I62" s="318"/>
      <x:c r="J62" s="318"/>
      <x:c r="K62" s="318"/>
      <x:c r="L62" s="319"/>
      <x:c r="M62" s="306"/>
      <x:c r="N62" s="306"/>
      <x:c r="O62" s="306"/>
      <x:c r="P62" s="306"/>
      <x:c r="Q62" s="306"/>
    </x:row>
    <x:row r="63" ht="38" customHeight="1">
      <x:c r="A63" s="408"/>
      <x:c r="B63" s="318"/>
      <x:c r="C63" s="318"/>
      <x:c r="D63" s="318"/>
      <x:c r="E63" s="318"/>
      <x:c r="F63" s="409"/>
      <x:c r="G63" s="318"/>
      <x:c r="H63" s="318"/>
      <x:c r="I63" s="318"/>
      <x:c r="J63" s="318"/>
      <x:c r="K63" s="318"/>
      <x:c r="L63" s="319"/>
      <x:c r="M63" s="306"/>
      <x:c r="N63" s="306"/>
      <x:c r="O63" s="306"/>
      <x:c r="P63" s="306"/>
      <x:c r="Q63" s="306"/>
    </x:row>
    <x:row r="64" ht="38" customHeight="1">
      <x:c r="A64" s="408"/>
      <x:c r="B64" s="318"/>
      <x:c r="C64" s="318"/>
      <x:c r="D64" s="318"/>
      <x:c r="E64" s="318"/>
      <x:c r="F64" s="409"/>
      <x:c r="G64" s="318"/>
      <x:c r="H64" s="318"/>
      <x:c r="I64" s="318"/>
      <x:c r="J64" s="318"/>
      <x:c r="K64" s="318"/>
      <x:c r="L64" s="319"/>
      <x:c r="M64" s="306"/>
      <x:c r="N64" s="306"/>
      <x:c r="O64" s="306"/>
      <x:c r="P64" s="306"/>
      <x:c r="Q64" s="306"/>
    </x:row>
    <x:row r="65" ht="38" customHeight="1">
      <x:c r="A65" s="408"/>
      <x:c r="B65" s="318"/>
      <x:c r="C65" s="318"/>
      <x:c r="D65" s="318"/>
      <x:c r="E65" s="318"/>
      <x:c r="F65" s="409"/>
      <x:c r="G65" s="318"/>
      <x:c r="H65" s="318"/>
      <x:c r="I65" s="318"/>
      <x:c r="J65" s="318"/>
      <x:c r="K65" s="318"/>
      <x:c r="L65" s="319"/>
      <x:c r="M65" s="306"/>
      <x:c r="N65" s="306"/>
      <x:c r="O65" s="306"/>
      <x:c r="P65" s="306"/>
      <x:c r="Q65" s="306"/>
    </x:row>
    <x:row r="66" ht="38" customHeight="1">
      <x:c r="A66" s="408"/>
      <x:c r="B66" s="318"/>
      <x:c r="C66" s="318"/>
      <x:c r="D66" s="318"/>
      <x:c r="E66" s="318"/>
      <x:c r="F66" s="409"/>
      <x:c r="G66" s="318"/>
      <x:c r="H66" s="318"/>
      <x:c r="I66" s="318"/>
      <x:c r="J66" s="318"/>
      <x:c r="K66" s="318"/>
      <x:c r="L66" s="319"/>
      <x:c r="M66" s="306"/>
      <x:c r="N66" s="306"/>
      <x:c r="O66" s="306"/>
      <x:c r="P66" s="306"/>
      <x:c r="Q66" s="306"/>
    </x:row>
    <x:row r="67" ht="38" customHeight="1">
      <x:c r="A67" s="408"/>
      <x:c r="B67" s="318"/>
      <x:c r="C67" s="318"/>
      <x:c r="D67" s="318"/>
      <x:c r="E67" s="318"/>
      <x:c r="F67" s="409"/>
      <x:c r="G67" s="318"/>
      <x:c r="H67" s="318"/>
      <x:c r="I67" s="318"/>
      <x:c r="J67" s="318"/>
      <x:c r="K67" s="318"/>
      <x:c r="L67" s="319"/>
      <x:c r="M67" s="306"/>
      <x:c r="N67" s="306"/>
      <x:c r="O67" s="306"/>
      <x:c r="P67" s="306"/>
      <x:c r="Q67" s="306"/>
    </x:row>
    <x:row r="68" ht="38" customHeight="1">
      <x:c r="A68" s="408"/>
      <x:c r="B68" s="318"/>
      <x:c r="C68" s="318"/>
      <x:c r="D68" s="318"/>
      <x:c r="E68" s="318"/>
      <x:c r="F68" s="409"/>
      <x:c r="G68" s="318"/>
      <x:c r="H68" s="318"/>
      <x:c r="I68" s="318"/>
      <x:c r="J68" s="318"/>
      <x:c r="K68" s="318"/>
      <x:c r="L68" s="319"/>
      <x:c r="M68" s="306"/>
      <x:c r="N68" s="306"/>
      <x:c r="O68" s="306"/>
      <x:c r="P68" s="306"/>
      <x:c r="Q68" s="306"/>
    </x:row>
    <x:row r="69" ht="38" customHeight="1">
      <x:c r="A69" s="408"/>
      <x:c r="B69" s="318"/>
      <x:c r="C69" s="318"/>
      <x:c r="D69" s="318"/>
      <x:c r="E69" s="318"/>
      <x:c r="F69" s="409"/>
      <x:c r="G69" s="318"/>
      <x:c r="H69" s="318"/>
      <x:c r="I69" s="318"/>
      <x:c r="J69" s="318"/>
      <x:c r="K69" s="318"/>
      <x:c r="L69" s="319"/>
      <x:c r="M69" s="306"/>
      <x:c r="N69" s="306"/>
      <x:c r="O69" s="306"/>
      <x:c r="P69" s="306"/>
      <x:c r="Q69" s="306"/>
    </x:row>
    <x:row r="70" ht="38" customHeight="1">
      <x:c r="A70" s="408"/>
      <x:c r="B70" s="318"/>
      <x:c r="C70" s="318"/>
      <x:c r="D70" s="318"/>
      <x:c r="E70" s="318"/>
      <x:c r="F70" s="409"/>
      <x:c r="G70" s="318"/>
      <x:c r="H70" s="318"/>
      <x:c r="I70" s="318"/>
      <x:c r="J70" s="318"/>
      <x:c r="K70" s="318"/>
      <x:c r="L70" s="319"/>
      <x:c r="M70" s="306"/>
      <x:c r="N70" s="306"/>
      <x:c r="O70" s="306"/>
      <x:c r="P70" s="306"/>
      <x:c r="Q70" s="306"/>
    </x:row>
    <x:row r="71" ht="38" customHeight="1">
      <x:c r="A71" s="408"/>
      <x:c r="B71" s="318"/>
      <x:c r="C71" s="318"/>
      <x:c r="D71" s="318"/>
      <x:c r="E71" s="318"/>
      <x:c r="F71" s="409"/>
      <x:c r="G71" s="318"/>
      <x:c r="H71" s="318"/>
      <x:c r="I71" s="318"/>
      <x:c r="J71" s="318"/>
      <x:c r="K71" s="318"/>
      <x:c r="L71" s="319"/>
      <x:c r="M71" s="306"/>
      <x:c r="N71" s="306"/>
      <x:c r="O71" s="306"/>
      <x:c r="P71" s="306"/>
      <x:c r="Q71" s="306"/>
    </x:row>
    <x:row r="72" ht="38" customHeight="1">
      <x:c r="A72" s="408"/>
      <x:c r="B72" s="318"/>
      <x:c r="C72" s="318"/>
      <x:c r="D72" s="318"/>
      <x:c r="E72" s="318"/>
      <x:c r="F72" s="409"/>
      <x:c r="G72" s="318"/>
      <x:c r="H72" s="318"/>
      <x:c r="I72" s="318"/>
      <x:c r="J72" s="318"/>
      <x:c r="K72" s="318"/>
      <x:c r="L72" s="319"/>
      <x:c r="M72" s="306"/>
      <x:c r="N72" s="306"/>
      <x:c r="O72" s="306"/>
      <x:c r="P72" s="306"/>
      <x:c r="Q72" s="306"/>
    </x:row>
    <x:row r="73" ht="38" customHeight="1">
      <x:c r="A73" s="408"/>
      <x:c r="B73" s="318"/>
      <x:c r="C73" s="318"/>
      <x:c r="D73" s="318"/>
      <x:c r="E73" s="318"/>
      <x:c r="F73" s="409"/>
      <x:c r="G73" s="318"/>
      <x:c r="H73" s="318"/>
      <x:c r="I73" s="318"/>
      <x:c r="J73" s="318"/>
      <x:c r="K73" s="318"/>
      <x:c r="L73" s="319"/>
      <x:c r="M73" s="306"/>
      <x:c r="N73" s="306"/>
      <x:c r="O73" s="306"/>
      <x:c r="P73" s="306"/>
      <x:c r="Q73" s="306"/>
    </x:row>
    <x:row r="74" ht="38" customHeight="1">
      <x:c r="A74" s="408"/>
      <x:c r="B74" s="318"/>
      <x:c r="C74" s="318"/>
      <x:c r="D74" s="318"/>
      <x:c r="E74" s="318"/>
      <x:c r="F74" s="409"/>
      <x:c r="G74" s="318"/>
      <x:c r="H74" s="318"/>
      <x:c r="I74" s="318"/>
      <x:c r="J74" s="318"/>
      <x:c r="K74" s="318"/>
      <x:c r="L74" s="319"/>
      <x:c r="M74" s="306"/>
      <x:c r="N74" s="306"/>
      <x:c r="O74" s="306"/>
      <x:c r="P74" s="306"/>
      <x:c r="Q74" s="306"/>
    </x:row>
    <x:row r="75" ht="38" customHeight="1">
      <x:c r="A75" s="408"/>
      <x:c r="B75" s="318"/>
      <x:c r="C75" s="318"/>
      <x:c r="D75" s="318"/>
      <x:c r="E75" s="318"/>
      <x:c r="F75" s="409"/>
      <x:c r="G75" s="318"/>
      <x:c r="H75" s="318"/>
      <x:c r="I75" s="318"/>
      <x:c r="J75" s="318"/>
      <x:c r="K75" s="318"/>
      <x:c r="L75" s="319"/>
      <x:c r="M75" s="306"/>
      <x:c r="N75" s="306"/>
      <x:c r="O75" s="306"/>
      <x:c r="P75" s="306"/>
      <x:c r="Q75" s="306"/>
    </x:row>
    <x:row r="76" ht="38" customHeight="1">
      <x:c r="A76" s="408"/>
      <x:c r="B76" s="318"/>
      <x:c r="C76" s="318"/>
      <x:c r="D76" s="318"/>
      <x:c r="E76" s="318"/>
      <x:c r="F76" s="409"/>
      <x:c r="G76" s="318"/>
      <x:c r="H76" s="318"/>
      <x:c r="I76" s="318"/>
      <x:c r="J76" s="318"/>
      <x:c r="K76" s="318"/>
      <x:c r="L76" s="319"/>
      <x:c r="M76" s="306"/>
      <x:c r="N76" s="306"/>
      <x:c r="O76" s="306"/>
      <x:c r="P76" s="306"/>
      <x:c r="Q76" s="306"/>
    </x:row>
    <x:row r="77" ht="38" customHeight="1">
      <x:c r="A77" s="408"/>
      <x:c r="B77" s="318"/>
      <x:c r="C77" s="318"/>
      <x:c r="D77" s="318"/>
      <x:c r="E77" s="318"/>
      <x:c r="F77" s="409"/>
      <x:c r="G77" s="318"/>
      <x:c r="H77" s="318"/>
      <x:c r="I77" s="318"/>
      <x:c r="J77" s="318"/>
      <x:c r="K77" s="318"/>
      <x:c r="L77" s="319"/>
      <x:c r="M77" s="306"/>
      <x:c r="N77" s="306"/>
      <x:c r="O77" s="306"/>
      <x:c r="P77" s="306"/>
      <x:c r="Q77" s="306"/>
    </x:row>
    <x:row r="78" ht="38" customHeight="1">
      <x:c r="A78" s="408"/>
      <x:c r="B78" s="318"/>
      <x:c r="C78" s="318"/>
      <x:c r="D78" s="318"/>
      <x:c r="E78" s="318"/>
      <x:c r="F78" s="409"/>
      <x:c r="G78" s="318"/>
      <x:c r="H78" s="318"/>
      <x:c r="I78" s="318"/>
      <x:c r="J78" s="318"/>
      <x:c r="K78" s="318"/>
      <x:c r="L78" s="319"/>
      <x:c r="M78" s="306"/>
      <x:c r="N78" s="306"/>
      <x:c r="O78" s="306"/>
      <x:c r="P78" s="306"/>
      <x:c r="Q78" s="306"/>
    </x:row>
    <x:row r="79" ht="38" customHeight="1">
      <x:c r="A79" s="408"/>
      <x:c r="B79" s="318"/>
      <x:c r="C79" s="318"/>
      <x:c r="D79" s="318"/>
      <x:c r="E79" s="318"/>
      <x:c r="F79" s="409"/>
      <x:c r="G79" s="318"/>
      <x:c r="H79" s="318"/>
      <x:c r="I79" s="318"/>
      <x:c r="J79" s="318"/>
      <x:c r="K79" s="318"/>
      <x:c r="L79" s="319"/>
      <x:c r="M79" s="306"/>
      <x:c r="N79" s="306"/>
      <x:c r="O79" s="306"/>
      <x:c r="P79" s="306"/>
      <x:c r="Q79" s="306"/>
    </x:row>
    <x:row r="80" ht="38" customHeight="1">
      <x:c r="A80" s="408"/>
      <x:c r="B80" s="318"/>
      <x:c r="C80" s="318"/>
      <x:c r="D80" s="318"/>
      <x:c r="E80" s="318"/>
      <x:c r="F80" s="409"/>
      <x:c r="G80" s="318"/>
      <x:c r="H80" s="318"/>
      <x:c r="I80" s="318"/>
      <x:c r="J80" s="318"/>
      <x:c r="K80" s="318"/>
      <x:c r="L80" s="319"/>
      <x:c r="M80" s="306"/>
      <x:c r="N80" s="306"/>
      <x:c r="O80" s="306"/>
      <x:c r="P80" s="306"/>
      <x:c r="Q80" s="306"/>
    </x:row>
    <x:row r="81" ht="38" customHeight="1">
      <x:c r="A81" s="408"/>
      <x:c r="B81" s="318"/>
      <x:c r="C81" s="318"/>
      <x:c r="D81" s="318"/>
      <x:c r="E81" s="318"/>
      <x:c r="F81" s="409"/>
      <x:c r="G81" s="318"/>
      <x:c r="H81" s="318"/>
      <x:c r="I81" s="318"/>
      <x:c r="J81" s="318"/>
      <x:c r="K81" s="318"/>
      <x:c r="L81" s="319"/>
      <x:c r="M81" s="306"/>
      <x:c r="N81" s="306"/>
      <x:c r="O81" s="306"/>
      <x:c r="P81" s="306"/>
      <x:c r="Q81" s="306"/>
    </x:row>
    <x:row r="82" ht="38" customHeight="1">
      <x:c r="A82" s="408"/>
      <x:c r="B82" s="318"/>
      <x:c r="C82" s="318"/>
      <x:c r="D82" s="318"/>
      <x:c r="E82" s="318"/>
      <x:c r="F82" s="409"/>
      <x:c r="G82" s="318"/>
      <x:c r="H82" s="318"/>
      <x:c r="I82" s="318"/>
      <x:c r="J82" s="318"/>
      <x:c r="K82" s="318"/>
      <x:c r="L82" s="319"/>
      <x:c r="M82" s="306"/>
      <x:c r="N82" s="306"/>
      <x:c r="O82" s="306"/>
      <x:c r="P82" s="306"/>
      <x:c r="Q82" s="306"/>
    </x:row>
    <x:row r="83" ht="38" customHeight="1">
      <x:c r="A83" s="408"/>
      <x:c r="B83" s="318"/>
      <x:c r="C83" s="318"/>
      <x:c r="D83" s="318"/>
      <x:c r="E83" s="318"/>
      <x:c r="F83" s="409"/>
      <x:c r="G83" s="318"/>
      <x:c r="H83" s="318"/>
      <x:c r="I83" s="318"/>
      <x:c r="J83" s="318"/>
      <x:c r="K83" s="318"/>
      <x:c r="L83" s="319"/>
      <x:c r="M83" s="306"/>
      <x:c r="N83" s="306"/>
      <x:c r="O83" s="306"/>
      <x:c r="P83" s="306"/>
      <x:c r="Q83" s="306"/>
    </x:row>
    <x:row r="84" ht="38" customHeight="1">
      <x:c r="A84" s="408"/>
      <x:c r="B84" s="318"/>
      <x:c r="C84" s="318"/>
      <x:c r="D84" s="318"/>
      <x:c r="E84" s="318"/>
      <x:c r="F84" s="409"/>
      <x:c r="G84" s="318"/>
      <x:c r="H84" s="318"/>
      <x:c r="I84" s="318"/>
      <x:c r="J84" s="318"/>
      <x:c r="K84" s="318"/>
      <x:c r="L84" s="319"/>
      <x:c r="M84" s="306"/>
      <x:c r="N84" s="306"/>
      <x:c r="O84" s="306"/>
      <x:c r="P84" s="306"/>
      <x:c r="Q84" s="306"/>
    </x:row>
    <x:row r="85" ht="38" customHeight="1">
      <x:c r="A85" s="408"/>
      <x:c r="B85" s="318"/>
      <x:c r="C85" s="318"/>
      <x:c r="D85" s="318"/>
      <x:c r="E85" s="318"/>
      <x:c r="F85" s="409"/>
      <x:c r="G85" s="318"/>
      <x:c r="H85" s="318"/>
      <x:c r="I85" s="318"/>
      <x:c r="J85" s="318"/>
      <x:c r="K85" s="318"/>
      <x:c r="L85" s="319"/>
      <x:c r="M85" s="306"/>
      <x:c r="N85" s="306"/>
      <x:c r="O85" s="306"/>
      <x:c r="P85" s="306"/>
      <x:c r="Q85" s="306"/>
    </x:row>
    <x:row r="86" ht="38" customHeight="1">
      <x:c r="A86" s="408"/>
      <x:c r="B86" s="318"/>
      <x:c r="C86" s="318"/>
      <x:c r="D86" s="318"/>
      <x:c r="E86" s="318"/>
      <x:c r="F86" s="409"/>
      <x:c r="G86" s="318"/>
      <x:c r="H86" s="318"/>
      <x:c r="I86" s="318"/>
      <x:c r="J86" s="318"/>
      <x:c r="K86" s="318"/>
      <x:c r="L86" s="319"/>
      <x:c r="M86" s="306"/>
      <x:c r="N86" s="306"/>
      <x:c r="O86" s="306"/>
      <x:c r="P86" s="306"/>
      <x:c r="Q86" s="306"/>
    </x:row>
    <x:row r="87" ht="38" customHeight="1">
      <x:c r="A87" s="408"/>
      <x:c r="B87" s="318"/>
      <x:c r="C87" s="318"/>
      <x:c r="D87" s="318"/>
      <x:c r="E87" s="318"/>
      <x:c r="F87" s="409"/>
      <x:c r="G87" s="318"/>
      <x:c r="H87" s="318"/>
      <x:c r="I87" s="318"/>
      <x:c r="J87" s="318"/>
      <x:c r="K87" s="318"/>
      <x:c r="L87" s="319"/>
      <x:c r="M87" s="306"/>
      <x:c r="N87" s="306"/>
      <x:c r="O87" s="306"/>
      <x:c r="P87" s="306"/>
      <x:c r="Q87" s="306"/>
    </x:row>
    <x:row r="88" ht="38" customHeight="1">
      <x:c r="A88" s="408"/>
      <x:c r="B88" s="318"/>
      <x:c r="C88" s="318"/>
      <x:c r="D88" s="318"/>
      <x:c r="E88" s="318"/>
      <x:c r="F88" s="409"/>
      <x:c r="G88" s="318"/>
      <x:c r="H88" s="318"/>
      <x:c r="I88" s="318"/>
      <x:c r="J88" s="318"/>
      <x:c r="K88" s="318"/>
      <x:c r="L88" s="319"/>
      <x:c r="M88" s="306"/>
      <x:c r="N88" s="306"/>
      <x:c r="O88" s="306"/>
      <x:c r="P88" s="306"/>
      <x:c r="Q88" s="306"/>
    </x:row>
    <x:row r="89" ht="38" customHeight="1">
      <x:c r="A89" s="408"/>
      <x:c r="B89" s="318"/>
      <x:c r="C89" s="318"/>
      <x:c r="D89" s="318"/>
      <x:c r="E89" s="318"/>
      <x:c r="F89" s="409"/>
      <x:c r="G89" s="318"/>
      <x:c r="H89" s="318"/>
      <x:c r="I89" s="318"/>
      <x:c r="J89" s="318"/>
      <x:c r="K89" s="318"/>
      <x:c r="L89" s="319"/>
      <x:c r="M89" s="306"/>
      <x:c r="N89" s="306"/>
      <x:c r="O89" s="306"/>
      <x:c r="P89" s="306"/>
      <x:c r="Q89" s="306"/>
    </x:row>
    <x:row r="90" ht="38" customHeight="1">
      <x:c r="A90" s="408"/>
      <x:c r="B90" s="318"/>
      <x:c r="C90" s="318"/>
      <x:c r="D90" s="318"/>
      <x:c r="E90" s="318"/>
      <x:c r="F90" s="409"/>
      <x:c r="G90" s="318"/>
      <x:c r="H90" s="318"/>
      <x:c r="I90" s="318"/>
      <x:c r="J90" s="318"/>
      <x:c r="K90" s="318"/>
      <x:c r="L90" s="319"/>
      <x:c r="M90" s="306"/>
      <x:c r="N90" s="306"/>
      <x:c r="O90" s="306"/>
      <x:c r="P90" s="306"/>
      <x:c r="Q90" s="306"/>
    </x:row>
    <x:row r="91" ht="38" customHeight="1">
      <x:c r="A91" s="408"/>
      <x:c r="B91" s="318"/>
      <x:c r="C91" s="318"/>
      <x:c r="D91" s="318"/>
      <x:c r="E91" s="318"/>
      <x:c r="F91" s="409"/>
      <x:c r="G91" s="318"/>
      <x:c r="H91" s="318"/>
      <x:c r="I91" s="318"/>
      <x:c r="J91" s="318"/>
      <x:c r="K91" s="318"/>
      <x:c r="L91" s="319"/>
      <x:c r="M91" s="306"/>
      <x:c r="N91" s="306"/>
      <x:c r="O91" s="306"/>
      <x:c r="P91" s="306"/>
      <x:c r="Q91" s="306"/>
    </x:row>
    <x:row r="92" ht="38" customHeight="1">
      <x:c r="A92" s="408"/>
      <x:c r="B92" s="318"/>
      <x:c r="C92" s="318"/>
      <x:c r="D92" s="318"/>
      <x:c r="E92" s="318"/>
      <x:c r="F92" s="409"/>
      <x:c r="G92" s="318"/>
      <x:c r="H92" s="318"/>
      <x:c r="I92" s="318"/>
      <x:c r="J92" s="318"/>
      <x:c r="K92" s="318"/>
      <x:c r="L92" s="319"/>
      <x:c r="M92" s="306"/>
      <x:c r="N92" s="306"/>
      <x:c r="O92" s="306"/>
      <x:c r="P92" s="306"/>
      <x:c r="Q92" s="306"/>
    </x:row>
    <x:row r="93" ht="38" customHeight="1">
      <x:c r="A93" s="408"/>
      <x:c r="B93" s="318"/>
      <x:c r="C93" s="318"/>
      <x:c r="D93" s="318"/>
      <x:c r="E93" s="318"/>
      <x:c r="F93" s="409"/>
      <x:c r="G93" s="318"/>
      <x:c r="H93" s="318"/>
      <x:c r="I93" s="318"/>
      <x:c r="J93" s="318"/>
      <x:c r="K93" s="318"/>
      <x:c r="L93" s="319"/>
      <x:c r="M93" s="306"/>
      <x:c r="N93" s="306"/>
      <x:c r="O93" s="306"/>
      <x:c r="P93" s="306"/>
      <x:c r="Q93" s="306"/>
    </x:row>
    <x:row r="94" ht="38" customHeight="1">
      <x:c r="A94" s="408"/>
      <x:c r="B94" s="318"/>
      <x:c r="C94" s="318"/>
      <x:c r="D94" s="318"/>
      <x:c r="E94" s="318"/>
      <x:c r="F94" s="409"/>
      <x:c r="G94" s="318"/>
      <x:c r="H94" s="318"/>
      <x:c r="I94" s="318"/>
      <x:c r="J94" s="318"/>
      <x:c r="K94" s="318"/>
      <x:c r="L94" s="319"/>
      <x:c r="M94" s="306"/>
      <x:c r="N94" s="306"/>
      <x:c r="O94" s="306"/>
      <x:c r="P94" s="306"/>
      <x:c r="Q94" s="306"/>
    </x:row>
    <x:row r="95" ht="38" customHeight="1">
      <x:c r="A95" s="408"/>
      <x:c r="B95" s="318"/>
      <x:c r="C95" s="318"/>
      <x:c r="D95" s="318"/>
      <x:c r="E95" s="318"/>
      <x:c r="F95" s="409"/>
      <x:c r="G95" s="318"/>
      <x:c r="H95" s="318"/>
      <x:c r="I95" s="318"/>
      <x:c r="J95" s="318"/>
      <x:c r="K95" s="318"/>
      <x:c r="L95" s="319"/>
      <x:c r="M95" s="306"/>
      <x:c r="N95" s="306"/>
      <x:c r="O95" s="306"/>
      <x:c r="P95" s="306"/>
      <x:c r="Q95" s="306"/>
    </x:row>
    <x:row r="96" ht="38" customHeight="1">
      <x:c r="A96" s="408"/>
      <x:c r="B96" s="318"/>
      <x:c r="C96" s="318"/>
      <x:c r="D96" s="318"/>
      <x:c r="E96" s="318"/>
      <x:c r="F96" s="409"/>
      <x:c r="G96" s="318"/>
      <x:c r="H96" s="318"/>
      <x:c r="I96" s="318"/>
      <x:c r="J96" s="318"/>
      <x:c r="K96" s="318"/>
      <x:c r="L96" s="319"/>
      <x:c r="M96" s="306"/>
      <x:c r="N96" s="306"/>
      <x:c r="O96" s="306"/>
      <x:c r="P96" s="306"/>
      <x:c r="Q96" s="306"/>
    </x:row>
    <x:row r="97" ht="38" customHeight="1">
      <x:c r="A97" s="408"/>
      <x:c r="B97" s="318"/>
      <x:c r="C97" s="318"/>
      <x:c r="D97" s="318"/>
      <x:c r="E97" s="318"/>
      <x:c r="F97" s="409"/>
      <x:c r="G97" s="318"/>
      <x:c r="H97" s="318"/>
      <x:c r="I97" s="318"/>
      <x:c r="J97" s="318"/>
      <x:c r="K97" s="318"/>
      <x:c r="L97" s="319"/>
      <x:c r="M97" s="306"/>
      <x:c r="N97" s="306"/>
      <x:c r="O97" s="306"/>
      <x:c r="P97" s="306"/>
      <x:c r="Q97" s="306"/>
    </x:row>
    <x:row r="98" ht="38" customHeight="1">
      <x:c r="A98" s="408"/>
      <x:c r="B98" s="318"/>
      <x:c r="C98" s="318"/>
      <x:c r="D98" s="318"/>
      <x:c r="E98" s="318"/>
      <x:c r="F98" s="409"/>
      <x:c r="G98" s="318"/>
      <x:c r="H98" s="318"/>
      <x:c r="I98" s="318"/>
      <x:c r="J98" s="318"/>
      <x:c r="K98" s="318"/>
      <x:c r="L98" s="319"/>
      <x:c r="M98" s="306"/>
      <x:c r="N98" s="306"/>
      <x:c r="O98" s="306"/>
      <x:c r="P98" s="306"/>
      <x:c r="Q98" s="306"/>
    </x:row>
    <x:row r="99" ht="38" customHeight="1">
      <x:c r="A99" s="408"/>
      <x:c r="B99" s="318"/>
      <x:c r="C99" s="318"/>
      <x:c r="D99" s="318"/>
      <x:c r="E99" s="318"/>
      <x:c r="F99" s="409"/>
      <x:c r="G99" s="318"/>
      <x:c r="H99" s="318"/>
      <x:c r="I99" s="318"/>
      <x:c r="J99" s="318"/>
      <x:c r="K99" s="318"/>
      <x:c r="L99" s="319"/>
      <x:c r="M99" s="306"/>
      <x:c r="N99" s="306"/>
      <x:c r="O99" s="306"/>
      <x:c r="P99" s="306"/>
      <x:c r="Q99" s="306"/>
    </x:row>
    <x:row r="100" ht="38" customHeight="1">
      <x:c r="A100" s="408"/>
      <x:c r="B100" s="318"/>
      <x:c r="C100" s="318"/>
      <x:c r="D100" s="318"/>
      <x:c r="E100" s="318"/>
      <x:c r="F100" s="409"/>
      <x:c r="G100" s="318"/>
      <x:c r="H100" s="318"/>
      <x:c r="I100" s="318"/>
      <x:c r="J100" s="318"/>
      <x:c r="K100" s="318"/>
      <x:c r="L100" s="319"/>
      <x:c r="M100" s="306"/>
      <x:c r="N100" s="306"/>
      <x:c r="O100" s="306"/>
      <x:c r="P100" s="306"/>
      <x:c r="Q100" s="306"/>
    </x:row>
    <x:row r="101" ht="38" customHeight="1">
      <x:c r="A101" s="408"/>
      <x:c r="B101" s="318"/>
      <x:c r="C101" s="318"/>
      <x:c r="D101" s="318"/>
      <x:c r="E101" s="318"/>
      <x:c r="F101" s="409"/>
      <x:c r="G101" s="318"/>
      <x:c r="H101" s="318"/>
      <x:c r="I101" s="318"/>
      <x:c r="J101" s="318"/>
      <x:c r="K101" s="318"/>
      <x:c r="L101" s="319"/>
      <x:c r="M101" s="306"/>
      <x:c r="N101" s="306"/>
      <x:c r="O101" s="306"/>
      <x:c r="P101" s="306"/>
      <x:c r="Q101" s="306"/>
    </x:row>
    <x:row r="102" ht="38" customHeight="1">
      <x:c r="A102" s="408"/>
      <x:c r="B102" s="318"/>
      <x:c r="C102" s="318"/>
      <x:c r="D102" s="318"/>
      <x:c r="E102" s="318"/>
      <x:c r="F102" s="409"/>
      <x:c r="G102" s="318"/>
      <x:c r="H102" s="318"/>
      <x:c r="I102" s="318"/>
      <x:c r="J102" s="318"/>
      <x:c r="K102" s="318"/>
      <x:c r="L102" s="319"/>
      <x:c r="M102" s="306"/>
      <x:c r="N102" s="306"/>
      <x:c r="O102" s="306"/>
      <x:c r="P102" s="306"/>
      <x:c r="Q102" s="306"/>
    </x:row>
    <x:row r="103" ht="38" customHeight="1">
      <x:c r="A103" s="408"/>
      <x:c r="B103" s="318"/>
      <x:c r="C103" s="318"/>
      <x:c r="D103" s="318"/>
      <x:c r="E103" s="318"/>
      <x:c r="F103" s="409"/>
      <x:c r="G103" s="318"/>
      <x:c r="H103" s="318"/>
      <x:c r="I103" s="318"/>
      <x:c r="J103" s="318"/>
      <x:c r="K103" s="318"/>
      <x:c r="L103" s="319"/>
      <x:c r="M103" s="306"/>
      <x:c r="N103" s="306"/>
      <x:c r="O103" s="306"/>
      <x:c r="P103" s="306"/>
      <x:c r="Q103" s="306"/>
    </x:row>
    <x:row r="104" ht="38" customHeight="1">
      <x:c r="A104" s="408"/>
      <x:c r="B104" s="318"/>
      <x:c r="C104" s="318"/>
      <x:c r="D104" s="318"/>
      <x:c r="E104" s="318"/>
      <x:c r="F104" s="409"/>
      <x:c r="G104" s="318"/>
      <x:c r="H104" s="318"/>
      <x:c r="I104" s="318"/>
      <x:c r="J104" s="318"/>
      <x:c r="K104" s="318"/>
      <x:c r="L104" s="319"/>
      <x:c r="M104" s="306"/>
      <x:c r="N104" s="306"/>
      <x:c r="O104" s="306"/>
      <x:c r="P104" s="306"/>
      <x:c r="Q104" s="306"/>
    </x:row>
    <x:row r="105" ht="38" customHeight="1">
      <x:c r="A105" s="408"/>
      <x:c r="B105" s="318"/>
      <x:c r="C105" s="318"/>
      <x:c r="D105" s="318"/>
      <x:c r="E105" s="318"/>
      <x:c r="F105" s="409"/>
      <x:c r="G105" s="318"/>
      <x:c r="H105" s="318"/>
      <x:c r="I105" s="318"/>
      <x:c r="J105" s="318"/>
      <x:c r="K105" s="318"/>
      <x:c r="L105" s="319"/>
      <x:c r="M105" s="306"/>
      <x:c r="N105" s="306"/>
      <x:c r="O105" s="306"/>
      <x:c r="P105" s="306"/>
      <x:c r="Q105" s="306"/>
    </x:row>
    <x:row r="106" ht="38" customHeight="1">
      <x:c r="A106" s="408"/>
      <x:c r="B106" s="318"/>
      <x:c r="C106" s="318"/>
      <x:c r="D106" s="318"/>
      <x:c r="E106" s="318"/>
      <x:c r="F106" s="409"/>
      <x:c r="G106" s="318"/>
      <x:c r="H106" s="318"/>
      <x:c r="I106" s="318"/>
      <x:c r="J106" s="318"/>
      <x:c r="K106" s="318"/>
      <x:c r="L106" s="319"/>
      <x:c r="M106" s="306"/>
      <x:c r="N106" s="306"/>
      <x:c r="O106" s="306"/>
      <x:c r="P106" s="306"/>
      <x:c r="Q106" s="306"/>
    </x:row>
    <x:row r="107" ht="38" customHeight="1">
      <x:c r="A107" s="408"/>
      <x:c r="B107" s="318"/>
      <x:c r="C107" s="318"/>
      <x:c r="D107" s="318"/>
      <x:c r="E107" s="318"/>
      <x:c r="F107" s="409"/>
      <x:c r="G107" s="318"/>
      <x:c r="H107" s="318"/>
      <x:c r="I107" s="318"/>
      <x:c r="J107" s="318"/>
      <x:c r="K107" s="318"/>
      <x:c r="L107" s="319"/>
      <x:c r="M107" s="306"/>
      <x:c r="N107" s="306"/>
      <x:c r="O107" s="306"/>
      <x:c r="P107" s="306"/>
      <x:c r="Q107" s="306"/>
    </x:row>
    <x:row r="108" ht="38" customHeight="1">
      <x:c r="A108" s="408"/>
      <x:c r="B108" s="318"/>
      <x:c r="C108" s="318"/>
      <x:c r="D108" s="318"/>
      <x:c r="E108" s="318"/>
      <x:c r="F108" s="409"/>
      <x:c r="G108" s="318"/>
      <x:c r="H108" s="318"/>
      <x:c r="I108" s="318"/>
      <x:c r="J108" s="318"/>
      <x:c r="K108" s="318"/>
      <x:c r="L108" s="319"/>
      <x:c r="M108" s="306"/>
      <x:c r="N108" s="306"/>
      <x:c r="O108" s="306"/>
      <x:c r="P108" s="306"/>
      <x:c r="Q108" s="306"/>
    </x:row>
    <x:row r="109" ht="38" customHeight="1">
      <x:c r="A109" s="408"/>
      <x:c r="B109" s="318"/>
      <x:c r="C109" s="318"/>
      <x:c r="D109" s="318"/>
      <x:c r="E109" s="318"/>
      <x:c r="F109" s="409"/>
      <x:c r="G109" s="318"/>
      <x:c r="H109" s="318"/>
      <x:c r="I109" s="318"/>
      <x:c r="J109" s="318"/>
      <x:c r="K109" s="318"/>
      <x:c r="L109" s="319"/>
      <x:c r="M109" s="306"/>
      <x:c r="N109" s="306"/>
      <x:c r="O109" s="306"/>
      <x:c r="P109" s="306"/>
      <x:c r="Q109" s="306"/>
    </x:row>
    <x:row r="110" ht="38" customHeight="1">
      <x:c r="A110" s="408"/>
      <x:c r="B110" s="318"/>
      <x:c r="C110" s="318"/>
      <x:c r="D110" s="318"/>
      <x:c r="E110" s="318"/>
      <x:c r="F110" s="409"/>
      <x:c r="G110" s="318"/>
      <x:c r="H110" s="318"/>
      <x:c r="I110" s="318"/>
      <x:c r="J110" s="318"/>
      <x:c r="K110" s="318"/>
      <x:c r="L110" s="319"/>
      <x:c r="M110" s="306"/>
      <x:c r="N110" s="306"/>
      <x:c r="O110" s="306"/>
      <x:c r="P110" s="306"/>
      <x:c r="Q110" s="306"/>
    </x:row>
    <x:row r="111" ht="38" customHeight="1">
      <x:c r="A111" s="408"/>
      <x:c r="B111" s="318"/>
      <x:c r="C111" s="318"/>
      <x:c r="D111" s="318"/>
      <x:c r="E111" s="318"/>
      <x:c r="F111" s="409"/>
      <x:c r="G111" s="318"/>
      <x:c r="H111" s="318"/>
      <x:c r="I111" s="318"/>
      <x:c r="J111" s="318"/>
      <x:c r="K111" s="318"/>
      <x:c r="L111" s="319"/>
      <x:c r="M111" s="306"/>
      <x:c r="N111" s="306"/>
      <x:c r="O111" s="306"/>
      <x:c r="P111" s="306"/>
      <x:c r="Q111" s="306"/>
    </x:row>
    <x:row r="112" ht="38" customHeight="1">
      <x:c r="A112" s="411"/>
      <x:c r="B112" s="325"/>
      <x:c r="C112" s="325"/>
      <x:c r="D112" s="325"/>
      <x:c r="E112" s="325"/>
      <x:c r="F112" s="412"/>
      <x:c r="G112" s="325"/>
      <x:c r="H112" s="325"/>
      <x:c r="I112" s="325"/>
      <x:c r="J112" s="325"/>
      <x:c r="K112" s="325"/>
      <x:c r="L112" s="326"/>
      <x:c r="M112" s="306"/>
      <x:c r="N112" s="306"/>
      <x:c r="O112" s="306"/>
      <x:c r="P112" s="306"/>
      <x:c r="Q112" s="306"/>
    </x:row>
    <x:row r="113">
      <x:c r="A113" s="306"/>
      <x:c r="B113" s="306"/>
      <x:c r="C113" s="306"/>
      <x:c r="D113" s="306"/>
      <x:c r="E113" s="306"/>
      <x:c r="F113" s="306"/>
      <x:c r="G113" s="306"/>
      <x:c r="H113" s="306"/>
      <x:c r="I113" s="306"/>
      <x:c r="J113" s="306"/>
      <x:c r="K113" s="306"/>
      <x:c r="L113" s="306"/>
      <x:c r="M113" s="306"/>
      <x:c r="N113" s="306"/>
      <x:c r="O113" s="306"/>
      <x:c r="P113" s="306"/>
      <x:c r="Q113" s="306"/>
    </x:row>
    <x:row r="114">
      <x:c r="A114" s="306"/>
      <x:c r="B114" s="306"/>
      <x:c r="C114" s="306"/>
      <x:c r="D114" s="306"/>
      <x:c r="E114" s="306"/>
      <x:c r="F114" s="306"/>
      <x:c r="G114" s="306"/>
      <x:c r="H114" s="306"/>
      <x:c r="I114" s="306"/>
      <x:c r="J114" s="306"/>
      <x:c r="K114" s="306"/>
      <x:c r="L114" s="306"/>
      <x:c r="M114" s="306"/>
      <x:c r="N114" s="306"/>
      <x:c r="O114" s="306"/>
      <x:c r="P114" s="306"/>
      <x:c r="Q114" s="306"/>
    </x:row>
    <x:row r="115">
      <x:c r="A115" s="306"/>
      <x:c r="B115" s="306"/>
      <x:c r="C115" s="306"/>
      <x:c r="D115" s="306"/>
      <x:c r="E115" s="306"/>
      <x:c r="F115" s="306"/>
      <x:c r="G115" s="306"/>
      <x:c r="H115" s="306"/>
      <x:c r="I115" s="306"/>
      <x:c r="J115" s="306"/>
      <x:c r="K115" s="306"/>
      <x:c r="L115" s="306"/>
      <x:c r="M115" s="306"/>
      <x:c r="N115" s="306"/>
      <x:c r="O115" s="306"/>
      <x:c r="P115" s="306"/>
      <x:c r="Q115" s="306"/>
    </x:row>
    <x:row r="116">
      <x:c r="A116" s="306"/>
      <x:c r="B116" s="306"/>
      <x:c r="C116" s="306"/>
      <x:c r="D116" s="306"/>
      <x:c r="E116" s="306"/>
      <x:c r="F116" s="306"/>
      <x:c r="G116" s="306"/>
      <x:c r="H116" s="306"/>
      <x:c r="I116" s="306"/>
      <x:c r="J116" s="306"/>
      <x:c r="K116" s="306"/>
      <x:c r="L116" s="306"/>
      <x:c r="M116" s="306"/>
      <x:c r="N116" s="306"/>
      <x:c r="O116" s="306"/>
      <x:c r="P116" s="306"/>
      <x:c r="Q116" s="306"/>
    </x:row>
    <x:row r="117">
      <x:c r="A117" s="306"/>
      <x:c r="B117" s="306"/>
      <x:c r="C117" s="306"/>
      <x:c r="D117" s="306"/>
      <x:c r="E117" s="306"/>
      <x:c r="F117" s="306"/>
      <x:c r="G117" s="306"/>
      <x:c r="H117" s="306"/>
      <x:c r="I117" s="306"/>
      <x:c r="J117" s="306"/>
      <x:c r="K117" s="306"/>
      <x:c r="L117" s="306"/>
      <x:c r="M117" s="306"/>
      <x:c r="N117" s="306"/>
      <x:c r="O117" s="306"/>
      <x:c r="P117" s="306"/>
      <x:c r="Q117" s="306"/>
    </x:row>
    <x:row r="118">
      <x:c r="A118" s="306"/>
      <x:c r="B118" s="306"/>
      <x:c r="C118" s="306"/>
      <x:c r="D118" s="306"/>
      <x:c r="E118" s="306"/>
      <x:c r="F118" s="306"/>
      <x:c r="G118" s="306"/>
      <x:c r="H118" s="306"/>
      <x:c r="I118" s="306"/>
      <x:c r="J118" s="306"/>
      <x:c r="K118" s="306"/>
      <x:c r="L118" s="306"/>
      <x:c r="M118" s="306"/>
      <x:c r="N118" s="306"/>
      <x:c r="O118" s="306"/>
      <x:c r="P118" s="306"/>
      <x:c r="Q118" s="306"/>
    </x:row>
    <x:row r="119">
      <x:c r="A119" s="306"/>
      <x:c r="B119" s="306"/>
      <x:c r="C119" s="306"/>
      <x:c r="D119" s="306"/>
      <x:c r="E119" s="306"/>
      <x:c r="F119" s="306"/>
      <x:c r="G119" s="306"/>
      <x:c r="H119" s="306"/>
      <x:c r="I119" s="306"/>
      <x:c r="J119" s="306"/>
      <x:c r="K119" s="306"/>
      <x:c r="L119" s="306"/>
      <x:c r="M119" s="306"/>
      <x:c r="N119" s="306"/>
      <x:c r="O119" s="306"/>
      <x:c r="P119" s="306"/>
      <x:c r="Q119" s="306"/>
    </x:row>
    <x:row r="120">
      <x:c r="A120" s="306"/>
      <x:c r="B120" s="306"/>
      <x:c r="C120" s="306"/>
      <x:c r="D120" s="306"/>
      <x:c r="E120" s="306"/>
      <x:c r="F120" s="306"/>
      <x:c r="G120" s="306"/>
      <x:c r="H120" s="306"/>
      <x:c r="I120" s="306"/>
      <x:c r="J120" s="306"/>
      <x:c r="K120" s="306"/>
      <x:c r="L120" s="306"/>
      <x:c r="M120" s="306"/>
      <x:c r="N120" s="306"/>
      <x:c r="O120" s="306"/>
      <x:c r="P120" s="306"/>
      <x:c r="Q120" s="306"/>
    </x:row>
    <x:row r="121">
      <x:c r="A121" s="306"/>
      <x:c r="B121" s="306"/>
      <x:c r="C121" s="306"/>
      <x:c r="D121" s="306"/>
      <x:c r="E121" s="306"/>
      <x:c r="F121" s="306"/>
      <x:c r="G121" s="306"/>
      <x:c r="H121" s="306"/>
      <x:c r="I121" s="306"/>
      <x:c r="J121" s="306"/>
      <x:c r="K121" s="306"/>
      <x:c r="L121" s="306"/>
      <x:c r="M121" s="306"/>
      <x:c r="N121" s="306"/>
      <x:c r="O121" s="306"/>
      <x:c r="P121" s="306"/>
      <x:c r="Q121" s="306"/>
    </x:row>
    <x:row r="122">
      <x:c r="A122" s="306"/>
      <x:c r="B122" s="306"/>
      <x:c r="C122" s="306"/>
      <x:c r="D122" s="306"/>
      <x:c r="E122" s="306"/>
      <x:c r="F122" s="306"/>
      <x:c r="G122" s="306"/>
      <x:c r="H122" s="306"/>
      <x:c r="I122" s="306"/>
      <x:c r="J122" s="306"/>
      <x:c r="K122" s="306"/>
      <x:c r="L122" s="306"/>
      <x:c r="M122" s="306"/>
      <x:c r="N122" s="306"/>
      <x:c r="O122" s="306"/>
      <x:c r="P122" s="306"/>
      <x:c r="Q122" s="306"/>
    </x:row>
    <x:row r="123">
      <x:c r="A123" s="306"/>
      <x:c r="B123" s="306"/>
      <x:c r="C123" s="306"/>
      <x:c r="D123" s="306"/>
      <x:c r="E123" s="306"/>
      <x:c r="F123" s="306"/>
      <x:c r="G123" s="306"/>
      <x:c r="H123" s="306"/>
      <x:c r="I123" s="306"/>
      <x:c r="J123" s="306"/>
      <x:c r="K123" s="306"/>
      <x:c r="L123" s="306"/>
      <x:c r="M123" s="306"/>
      <x:c r="N123" s="306"/>
      <x:c r="O123" s="306"/>
      <x:c r="P123" s="306"/>
      <x:c r="Q123" s="306"/>
    </x:row>
    <x:row r="124">
      <x:c r="A124" s="306"/>
      <x:c r="B124" s="306"/>
      <x:c r="C124" s="306"/>
      <x:c r="D124" s="306"/>
      <x:c r="E124" s="306"/>
      <x:c r="F124" s="306"/>
      <x:c r="G124" s="306"/>
      <x:c r="H124" s="306"/>
      <x:c r="I124" s="306"/>
      <x:c r="J124" s="306"/>
      <x:c r="K124" s="306"/>
      <x:c r="L124" s="306"/>
      <x:c r="M124" s="306"/>
      <x:c r="N124" s="306"/>
      <x:c r="O124" s="306"/>
      <x:c r="P124" s="306"/>
      <x:c r="Q124" s="306"/>
    </x:row>
    <x:row r="125">
      <x:c r="A125" s="306"/>
      <x:c r="B125" s="306"/>
      <x:c r="C125" s="306"/>
      <x:c r="D125" s="306"/>
      <x:c r="E125" s="306"/>
      <x:c r="F125" s="306"/>
      <x:c r="G125" s="306"/>
      <x:c r="H125" s="306"/>
      <x:c r="I125" s="306"/>
      <x:c r="J125" s="306"/>
      <x:c r="K125" s="306"/>
      <x:c r="L125" s="306"/>
      <x:c r="M125" s="306"/>
      <x:c r="N125" s="306"/>
      <x:c r="O125" s="306"/>
      <x:c r="P125" s="306"/>
      <x:c r="Q125" s="306"/>
    </x:row>
    <x:row r="126">
      <x:c r="A126" s="306"/>
      <x:c r="B126" s="306"/>
      <x:c r="C126" s="306"/>
      <x:c r="D126" s="306"/>
      <x:c r="E126" s="306"/>
      <x:c r="F126" s="306"/>
      <x:c r="G126" s="306"/>
      <x:c r="H126" s="306"/>
      <x:c r="I126" s="306"/>
      <x:c r="J126" s="306"/>
      <x:c r="K126" s="306"/>
      <x:c r="L126" s="306"/>
      <x:c r="M126" s="306"/>
      <x:c r="N126" s="306"/>
      <x:c r="O126" s="306"/>
      <x:c r="P126" s="306"/>
      <x:c r="Q126" s="306"/>
    </x:row>
    <x:row r="127">
      <x:c r="A127" s="306"/>
      <x:c r="B127" s="306"/>
      <x:c r="C127" s="306"/>
      <x:c r="D127" s="306"/>
      <x:c r="E127" s="306"/>
      <x:c r="F127" s="306"/>
      <x:c r="G127" s="306"/>
      <x:c r="H127" s="306"/>
      <x:c r="I127" s="306"/>
      <x:c r="J127" s="306"/>
      <x:c r="K127" s="306"/>
      <x:c r="L127" s="306"/>
      <x:c r="M127" s="306"/>
      <x:c r="N127" s="306"/>
      <x:c r="O127" s="306"/>
      <x:c r="P127" s="306"/>
      <x:c r="Q127" s="306"/>
    </x:row>
    <x:row r="128">
      <x:c r="A128" s="306"/>
      <x:c r="B128" s="306"/>
      <x:c r="C128" s="306"/>
      <x:c r="D128" s="306"/>
      <x:c r="E128" s="306"/>
      <x:c r="F128" s="306"/>
      <x:c r="G128" s="306"/>
      <x:c r="H128" s="306"/>
      <x:c r="I128" s="306"/>
      <x:c r="J128" s="306"/>
      <x:c r="K128" s="306"/>
      <x:c r="L128" s="306"/>
      <x:c r="M128" s="306"/>
      <x:c r="N128" s="306"/>
      <x:c r="O128" s="306"/>
      <x:c r="P128" s="306"/>
      <x:c r="Q128" s="306"/>
    </x:row>
    <x:row r="129">
      <x:c r="A129" s="306"/>
      <x:c r="B129" s="306"/>
      <x:c r="C129" s="306"/>
      <x:c r="D129" s="306"/>
      <x:c r="E129" s="306"/>
      <x:c r="F129" s="306"/>
      <x:c r="G129" s="306"/>
      <x:c r="H129" s="306"/>
      <x:c r="I129" s="306"/>
      <x:c r="J129" s="306"/>
      <x:c r="K129" s="306"/>
      <x:c r="L129" s="306"/>
      <x:c r="M129" s="306"/>
      <x:c r="N129" s="306"/>
      <x:c r="O129" s="306"/>
      <x:c r="P129" s="306"/>
      <x:c r="Q129" s="306"/>
    </x:row>
    <x:row r="130">
      <x:c r="A130" s="306"/>
      <x:c r="B130" s="306"/>
      <x:c r="C130" s="306"/>
      <x:c r="D130" s="306"/>
      <x:c r="E130" s="306"/>
      <x:c r="F130" s="306"/>
      <x:c r="G130" s="306"/>
      <x:c r="H130" s="306"/>
      <x:c r="I130" s="306"/>
      <x:c r="J130" s="306"/>
      <x:c r="K130" s="306"/>
      <x:c r="L130" s="306"/>
      <x:c r="M130" s="306"/>
      <x:c r="N130" s="306"/>
      <x:c r="O130" s="306"/>
      <x:c r="P130" s="306"/>
      <x:c r="Q130" s="306"/>
    </x:row>
    <x:row r="131">
      <x:c r="A131" s="306"/>
      <x:c r="B131" s="306"/>
      <x:c r="C131" s="306"/>
      <x:c r="D131" s="306"/>
      <x:c r="E131" s="306"/>
      <x:c r="F131" s="306"/>
      <x:c r="G131" s="306"/>
      <x:c r="H131" s="306"/>
      <x:c r="I131" s="306"/>
      <x:c r="J131" s="306"/>
      <x:c r="K131" s="306"/>
      <x:c r="L131" s="306"/>
      <x:c r="M131" s="306"/>
      <x:c r="N131" s="306"/>
      <x:c r="O131" s="306"/>
      <x:c r="P131" s="306"/>
      <x:c r="Q131" s="306"/>
    </x:row>
    <x:row r="132">
      <x:c r="A132" s="306"/>
      <x:c r="B132" s="306"/>
      <x:c r="C132" s="306"/>
      <x:c r="D132" s="306"/>
      <x:c r="E132" s="306"/>
      <x:c r="F132" s="306"/>
      <x:c r="G132" s="306"/>
      <x:c r="H132" s="306"/>
      <x:c r="I132" s="306"/>
      <x:c r="J132" s="306"/>
      <x:c r="K132" s="306"/>
      <x:c r="L132" s="306"/>
      <x:c r="M132" s="306"/>
      <x:c r="N132" s="306"/>
      <x:c r="O132" s="306"/>
      <x:c r="P132" s="306"/>
      <x:c r="Q132" s="306"/>
    </x:row>
    <x:row r="133">
      <x:c r="A133" s="306"/>
      <x:c r="B133" s="306"/>
      <x:c r="C133" s="306"/>
      <x:c r="D133" s="306"/>
      <x:c r="E133" s="306"/>
      <x:c r="F133" s="306"/>
      <x:c r="G133" s="306"/>
      <x:c r="H133" s="306"/>
      <x:c r="I133" s="306"/>
      <x:c r="J133" s="306"/>
      <x:c r="K133" s="306"/>
      <x:c r="L133" s="306"/>
      <x:c r="M133" s="306"/>
      <x:c r="N133" s="306"/>
      <x:c r="O133" s="306"/>
      <x:c r="P133" s="306"/>
      <x:c r="Q133" s="306"/>
    </x:row>
    <x:row r="134">
      <x:c r="A134" s="306"/>
      <x:c r="B134" s="306"/>
      <x:c r="C134" s="306"/>
      <x:c r="D134" s="306"/>
      <x:c r="E134" s="306"/>
      <x:c r="F134" s="306"/>
      <x:c r="G134" s="306"/>
      <x:c r="H134" s="306"/>
      <x:c r="I134" s="306"/>
      <x:c r="J134" s="306"/>
      <x:c r="K134" s="306"/>
      <x:c r="L134" s="306"/>
      <x:c r="M134" s="306"/>
      <x:c r="N134" s="306"/>
      <x:c r="O134" s="306"/>
      <x:c r="P134" s="306"/>
      <x:c r="Q134" s="306"/>
    </x:row>
    <x:row r="135">
      <x:c r="A135" s="306"/>
      <x:c r="B135" s="306"/>
      <x:c r="C135" s="306"/>
      <x:c r="D135" s="306"/>
      <x:c r="E135" s="306"/>
      <x:c r="F135" s="306"/>
      <x:c r="G135" s="306"/>
      <x:c r="H135" s="306"/>
      <x:c r="I135" s="306"/>
      <x:c r="J135" s="306"/>
      <x:c r="K135" s="306"/>
      <x:c r="L135" s="306"/>
      <x:c r="M135" s="306"/>
      <x:c r="N135" s="306"/>
      <x:c r="O135" s="306"/>
      <x:c r="P135" s="306"/>
      <x:c r="Q135" s="306"/>
    </x:row>
    <x:row r="136">
      <x:c r="A136" s="306"/>
      <x:c r="B136" s="306"/>
      <x:c r="C136" s="306"/>
      <x:c r="D136" s="306"/>
      <x:c r="E136" s="306"/>
      <x:c r="F136" s="306"/>
      <x:c r="G136" s="306"/>
      <x:c r="H136" s="306"/>
      <x:c r="I136" s="306"/>
      <x:c r="J136" s="306"/>
      <x:c r="K136" s="306"/>
      <x:c r="L136" s="306"/>
      <x:c r="M136" s="306"/>
      <x:c r="N136" s="306"/>
      <x:c r="O136" s="306"/>
      <x:c r="P136" s="306"/>
      <x:c r="Q136" s="306"/>
    </x:row>
    <x:row r="137">
      <x:c r="A137" s="306"/>
      <x:c r="B137" s="306"/>
      <x:c r="C137" s="306"/>
      <x:c r="D137" s="306"/>
      <x:c r="E137" s="306"/>
      <x:c r="F137" s="306"/>
      <x:c r="G137" s="306"/>
      <x:c r="H137" s="306"/>
      <x:c r="I137" s="306"/>
      <x:c r="J137" s="306"/>
      <x:c r="K137" s="306"/>
      <x:c r="L137" s="306"/>
      <x:c r="M137" s="306"/>
      <x:c r="N137" s="306"/>
      <x:c r="O137" s="306"/>
      <x:c r="P137" s="306"/>
      <x:c r="Q137" s="306"/>
    </x:row>
    <x:row r="138">
      <x:c r="A138" s="306"/>
      <x:c r="B138" s="306"/>
      <x:c r="C138" s="306"/>
      <x:c r="D138" s="306"/>
      <x:c r="E138" s="306"/>
      <x:c r="F138" s="306"/>
      <x:c r="G138" s="306"/>
      <x:c r="H138" s="306"/>
      <x:c r="I138" s="306"/>
      <x:c r="J138" s="306"/>
      <x:c r="K138" s="306"/>
      <x:c r="L138" s="306"/>
      <x:c r="M138" s="306"/>
      <x:c r="N138" s="306"/>
      <x:c r="O138" s="306"/>
      <x:c r="P138" s="306"/>
      <x:c r="Q138" s="306"/>
    </x:row>
    <x:row r="139">
      <x:c r="A139" s="306"/>
      <x:c r="B139" s="306"/>
      <x:c r="C139" s="306"/>
      <x:c r="D139" s="306"/>
      <x:c r="E139" s="306"/>
      <x:c r="F139" s="306"/>
      <x:c r="G139" s="306"/>
      <x:c r="H139" s="306"/>
      <x:c r="I139" s="306"/>
      <x:c r="J139" s="306"/>
      <x:c r="K139" s="306"/>
      <x:c r="L139" s="306"/>
      <x:c r="M139" s="306"/>
      <x:c r="N139" s="306"/>
      <x:c r="O139" s="306"/>
      <x:c r="P139" s="306"/>
      <x:c r="Q139" s="306"/>
    </x:row>
    <x:row r="140">
      <x:c r="A140" s="306"/>
      <x:c r="B140" s="306"/>
      <x:c r="C140" s="306"/>
      <x:c r="D140" s="306"/>
      <x:c r="E140" s="306"/>
      <x:c r="F140" s="306"/>
      <x:c r="G140" s="306"/>
      <x:c r="H140" s="306"/>
      <x:c r="I140" s="306"/>
      <x:c r="J140" s="306"/>
      <x:c r="K140" s="306"/>
      <x:c r="L140" s="306"/>
      <x:c r="M140" s="306"/>
      <x:c r="N140" s="306"/>
      <x:c r="O140" s="306"/>
      <x:c r="P140" s="306"/>
      <x:c r="Q140" s="306"/>
    </x:row>
    <x:row r="141">
      <x:c r="A141" s="306"/>
      <x:c r="B141" s="306"/>
      <x:c r="C141" s="306"/>
      <x:c r="D141" s="306"/>
      <x:c r="E141" s="306"/>
      <x:c r="F141" s="306"/>
      <x:c r="G141" s="306"/>
      <x:c r="H141" s="306"/>
      <x:c r="I141" s="306"/>
      <x:c r="J141" s="306"/>
      <x:c r="K141" s="306"/>
      <x:c r="L141" s="306"/>
      <x:c r="M141" s="306"/>
      <x:c r="N141" s="306"/>
      <x:c r="O141" s="306"/>
      <x:c r="P141" s="306"/>
      <x:c r="Q141" s="306"/>
    </x:row>
    <x:row r="142">
      <x:c r="A142" s="306"/>
      <x:c r="B142" s="306"/>
      <x:c r="C142" s="306"/>
      <x:c r="D142" s="306"/>
      <x:c r="E142" s="306"/>
      <x:c r="F142" s="306"/>
      <x:c r="G142" s="306"/>
      <x:c r="H142" s="306"/>
      <x:c r="I142" s="306"/>
      <x:c r="J142" s="306"/>
      <x:c r="K142" s="306"/>
      <x:c r="L142" s="306"/>
      <x:c r="M142" s="306"/>
      <x:c r="N142" s="306"/>
      <x:c r="O142" s="306"/>
      <x:c r="P142" s="306"/>
      <x:c r="Q142" s="306"/>
    </x:row>
    <x:row r="143">
      <x:c r="A143" s="306"/>
      <x:c r="B143" s="306"/>
      <x:c r="C143" s="306"/>
      <x:c r="D143" s="306"/>
      <x:c r="E143" s="306"/>
      <x:c r="F143" s="306"/>
      <x:c r="G143" s="306"/>
      <x:c r="H143" s="306"/>
      <x:c r="I143" s="306"/>
      <x:c r="J143" s="306"/>
      <x:c r="K143" s="306"/>
      <x:c r="L143" s="306"/>
      <x:c r="M143" s="306"/>
      <x:c r="N143" s="306"/>
      <x:c r="O143" s="306"/>
      <x:c r="P143" s="306"/>
      <x:c r="Q143" s="306"/>
    </x:row>
    <x:row r="144">
      <x:c r="A144" s="306"/>
      <x:c r="B144" s="306"/>
      <x:c r="C144" s="306"/>
      <x:c r="D144" s="306"/>
      <x:c r="E144" s="306"/>
      <x:c r="F144" s="306"/>
      <x:c r="G144" s="306"/>
      <x:c r="H144" s="306"/>
      <x:c r="I144" s="306"/>
      <x:c r="J144" s="306"/>
      <x:c r="K144" s="306"/>
      <x:c r="L144" s="306"/>
      <x:c r="M144" s="306"/>
      <x:c r="N144" s="306"/>
      <x:c r="O144" s="306"/>
      <x:c r="P144" s="306"/>
      <x:c r="Q144" s="306"/>
    </x:row>
    <x:row r="145">
      <x:c r="A145" s="306"/>
      <x:c r="B145" s="306"/>
      <x:c r="C145" s="306"/>
      <x:c r="D145" s="306"/>
      <x:c r="E145" s="306"/>
      <x:c r="F145" s="306"/>
      <x:c r="G145" s="306"/>
      <x:c r="H145" s="306"/>
      <x:c r="I145" s="306"/>
      <x:c r="J145" s="306"/>
      <x:c r="K145" s="306"/>
      <x:c r="L145" s="306"/>
      <x:c r="M145" s="306"/>
      <x:c r="N145" s="306"/>
      <x:c r="O145" s="306"/>
      <x:c r="P145" s="306"/>
      <x:c r="Q145" s="306"/>
    </x:row>
    <x:row r="146">
      <x:c r="A146" s="306"/>
      <x:c r="B146" s="306"/>
      <x:c r="C146" s="306"/>
      <x:c r="D146" s="306"/>
      <x:c r="E146" s="306"/>
      <x:c r="F146" s="306"/>
      <x:c r="G146" s="306"/>
      <x:c r="H146" s="306"/>
      <x:c r="I146" s="306"/>
      <x:c r="J146" s="306"/>
      <x:c r="K146" s="306"/>
      <x:c r="L146" s="306"/>
      <x:c r="M146" s="306"/>
      <x:c r="N146" s="306"/>
      <x:c r="O146" s="306"/>
      <x:c r="P146" s="306"/>
      <x:c r="Q146" s="306"/>
    </x:row>
    <x:row r="147">
      <x:c r="A147" s="306"/>
      <x:c r="B147" s="306"/>
      <x:c r="C147" s="306"/>
      <x:c r="D147" s="306"/>
      <x:c r="E147" s="306"/>
      <x:c r="F147" s="306"/>
      <x:c r="G147" s="306"/>
      <x:c r="H147" s="306"/>
      <x:c r="I147" s="306"/>
      <x:c r="J147" s="306"/>
      <x:c r="K147" s="306"/>
      <x:c r="L147" s="306"/>
      <x:c r="M147" s="306"/>
      <x:c r="N147" s="306"/>
      <x:c r="O147" s="306"/>
      <x:c r="P147" s="306"/>
      <x:c r="Q147" s="306"/>
    </x:row>
    <x:row r="148">
      <x:c r="A148" s="306"/>
      <x:c r="B148" s="306"/>
      <x:c r="C148" s="306"/>
      <x:c r="D148" s="306"/>
      <x:c r="E148" s="306"/>
      <x:c r="F148" s="306"/>
      <x:c r="G148" s="306"/>
      <x:c r="H148" s="306"/>
      <x:c r="I148" s="306"/>
      <x:c r="J148" s="306"/>
      <x:c r="K148" s="306"/>
      <x:c r="L148" s="306"/>
      <x:c r="M148" s="306"/>
      <x:c r="N148" s="306"/>
      <x:c r="O148" s="306"/>
      <x:c r="P148" s="306"/>
      <x:c r="Q148" s="306"/>
    </x:row>
    <x:row r="149">
      <x:c r="A149" s="306"/>
      <x:c r="B149" s="306"/>
      <x:c r="C149" s="306"/>
      <x:c r="D149" s="306"/>
      <x:c r="E149" s="306"/>
      <x:c r="F149" s="306"/>
      <x:c r="G149" s="306"/>
      <x:c r="H149" s="306"/>
      <x:c r="I149" s="306"/>
      <x:c r="J149" s="306"/>
      <x:c r="K149" s="306"/>
      <x:c r="L149" s="306"/>
      <x:c r="M149" s="306"/>
      <x:c r="N149" s="306"/>
      <x:c r="O149" s="306"/>
      <x:c r="P149" s="306"/>
      <x:c r="Q149" s="306"/>
    </x:row>
    <x:row r="150">
      <x:c r="A150" s="306"/>
      <x:c r="B150" s="306"/>
      <x:c r="C150" s="306"/>
      <x:c r="D150" s="306"/>
      <x:c r="E150" s="306"/>
      <x:c r="F150" s="306"/>
      <x:c r="G150" s="306"/>
      <x:c r="H150" s="306"/>
      <x:c r="I150" s="306"/>
      <x:c r="J150" s="306"/>
      <x:c r="K150" s="306"/>
      <x:c r="L150" s="306"/>
      <x:c r="M150" s="306"/>
      <x:c r="N150" s="306"/>
      <x:c r="O150" s="306"/>
      <x:c r="P150" s="306"/>
      <x:c r="Q150" s="306"/>
    </x:row>
    <x:row r="151">
      <x:c r="A151" s="306"/>
      <x:c r="B151" s="306"/>
      <x:c r="C151" s="306"/>
      <x:c r="D151" s="306"/>
      <x:c r="E151" s="306"/>
      <x:c r="F151" s="306"/>
      <x:c r="G151" s="306"/>
      <x:c r="H151" s="306"/>
      <x:c r="I151" s="306"/>
      <x:c r="J151" s="306"/>
      <x:c r="K151" s="306"/>
      <x:c r="L151" s="306"/>
      <x:c r="M151" s="306"/>
      <x:c r="N151" s="306"/>
      <x:c r="O151" s="306"/>
      <x:c r="P151" s="306"/>
      <x:c r="Q151" s="306"/>
    </x:row>
    <x:row r="152">
      <x:c r="A152" s="306"/>
      <x:c r="B152" s="306"/>
      <x:c r="C152" s="306"/>
      <x:c r="D152" s="306"/>
      <x:c r="E152" s="306"/>
      <x:c r="F152" s="306"/>
      <x:c r="G152" s="306"/>
      <x:c r="H152" s="306"/>
      <x:c r="I152" s="306"/>
      <x:c r="J152" s="306"/>
      <x:c r="K152" s="306"/>
      <x:c r="L152" s="306"/>
      <x:c r="M152" s="306"/>
      <x:c r="N152" s="306"/>
      <x:c r="O152" s="306"/>
      <x:c r="P152" s="306"/>
      <x:c r="Q152" s="306"/>
    </x:row>
    <x:row r="153">
      <x:c r="A153" s="306"/>
      <x:c r="B153" s="306"/>
      <x:c r="C153" s="306"/>
      <x:c r="D153" s="306"/>
      <x:c r="E153" s="306"/>
      <x:c r="F153" s="306"/>
      <x:c r="G153" s="306"/>
      <x:c r="H153" s="306"/>
      <x:c r="I153" s="306"/>
      <x:c r="J153" s="306"/>
      <x:c r="K153" s="306"/>
      <x:c r="L153" s="306"/>
      <x:c r="M153" s="306"/>
      <x:c r="N153" s="306"/>
      <x:c r="O153" s="306"/>
      <x:c r="P153" s="306"/>
      <x:c r="Q153" s="306"/>
    </x:row>
    <x:row r="154">
      <x:c r="A154" s="306"/>
      <x:c r="B154" s="306"/>
      <x:c r="C154" s="306"/>
      <x:c r="D154" s="306"/>
      <x:c r="E154" s="306"/>
      <x:c r="F154" s="306"/>
      <x:c r="G154" s="306"/>
      <x:c r="H154" s="306"/>
      <x:c r="I154" s="306"/>
      <x:c r="J154" s="306"/>
      <x:c r="K154" s="306"/>
      <x:c r="L154" s="306"/>
      <x:c r="M154" s="306"/>
      <x:c r="N154" s="306"/>
      <x:c r="O154" s="306"/>
      <x:c r="P154" s="306"/>
      <x:c r="Q154" s="306"/>
    </x:row>
    <x:row r="155">
      <x:c r="A155" s="306"/>
      <x:c r="B155" s="306"/>
      <x:c r="C155" s="306"/>
      <x:c r="D155" s="306"/>
      <x:c r="E155" s="306"/>
      <x:c r="F155" s="306"/>
      <x:c r="G155" s="306"/>
      <x:c r="H155" s="306"/>
      <x:c r="I155" s="306"/>
      <x:c r="J155" s="306"/>
      <x:c r="K155" s="306"/>
      <x:c r="L155" s="306"/>
      <x:c r="M155" s="306"/>
      <x:c r="N155" s="306"/>
      <x:c r="O155" s="306"/>
      <x:c r="P155" s="306"/>
      <x:c r="Q155" s="306"/>
    </x:row>
    <x:row r="156">
      <x:c r="A156" s="306"/>
      <x:c r="B156" s="306"/>
      <x:c r="C156" s="306"/>
      <x:c r="D156" s="306"/>
      <x:c r="E156" s="306"/>
      <x:c r="F156" s="306"/>
      <x:c r="G156" s="306"/>
      <x:c r="H156" s="306"/>
      <x:c r="I156" s="306"/>
      <x:c r="J156" s="306"/>
      <x:c r="K156" s="306"/>
      <x:c r="L156" s="306"/>
      <x:c r="M156" s="306"/>
      <x:c r="N156" s="306"/>
      <x:c r="O156" s="306"/>
      <x:c r="P156" s="306"/>
      <x:c r="Q156" s="306"/>
    </x:row>
    <x:row r="157">
      <x:c r="A157" s="306"/>
      <x:c r="B157" s="306"/>
      <x:c r="C157" s="306"/>
      <x:c r="D157" s="306"/>
      <x:c r="E157" s="306"/>
      <x:c r="F157" s="306"/>
      <x:c r="G157" s="306"/>
      <x:c r="H157" s="306"/>
      <x:c r="I157" s="306"/>
      <x:c r="J157" s="306"/>
      <x:c r="K157" s="306"/>
      <x:c r="L157" s="306"/>
      <x:c r="M157" s="306"/>
      <x:c r="N157" s="306"/>
      <x:c r="O157" s="306"/>
      <x:c r="P157" s="306"/>
      <x:c r="Q157" s="306"/>
    </x:row>
    <x:row r="158">
      <x:c r="A158" s="306"/>
      <x:c r="B158" s="306"/>
      <x:c r="C158" s="306"/>
      <x:c r="D158" s="306"/>
      <x:c r="E158" s="306"/>
      <x:c r="F158" s="306"/>
      <x:c r="G158" s="306"/>
      <x:c r="H158" s="306"/>
      <x:c r="I158" s="306"/>
      <x:c r="J158" s="306"/>
      <x:c r="K158" s="306"/>
      <x:c r="L158" s="306"/>
      <x:c r="M158" s="306"/>
      <x:c r="N158" s="306"/>
      <x:c r="O158" s="306"/>
      <x:c r="P158" s="306"/>
      <x:c r="Q158" s="306"/>
    </x:row>
    <x:row r="159">
      <x:c r="A159" s="306"/>
      <x:c r="B159" s="306"/>
      <x:c r="C159" s="306"/>
      <x:c r="D159" s="306"/>
      <x:c r="E159" s="306"/>
      <x:c r="F159" s="306"/>
      <x:c r="G159" s="306"/>
      <x:c r="H159" s="306"/>
      <x:c r="I159" s="306"/>
      <x:c r="J159" s="306"/>
      <x:c r="K159" s="306"/>
      <x:c r="L159" s="306"/>
      <x:c r="M159" s="306"/>
      <x:c r="N159" s="306"/>
      <x:c r="O159" s="306"/>
      <x:c r="P159" s="306"/>
      <x:c r="Q159" s="306"/>
    </x:row>
    <x:row r="160">
      <x:c r="A160" s="306"/>
      <x:c r="B160" s="306"/>
      <x:c r="C160" s="306"/>
      <x:c r="D160" s="306"/>
      <x:c r="E160" s="306"/>
      <x:c r="F160" s="306"/>
      <x:c r="G160" s="306"/>
      <x:c r="H160" s="306"/>
      <x:c r="I160" s="306"/>
      <x:c r="J160" s="306"/>
      <x:c r="K160" s="306"/>
      <x:c r="L160" s="306"/>
      <x:c r="M160" s="306"/>
      <x:c r="N160" s="306"/>
      <x:c r="O160" s="306"/>
      <x:c r="P160" s="306"/>
      <x:c r="Q160" s="306"/>
    </x:row>
    <x:row r="161">
      <x:c r="A161" s="306"/>
      <x:c r="B161" s="306"/>
      <x:c r="C161" s="306"/>
      <x:c r="D161" s="306"/>
      <x:c r="E161" s="306"/>
      <x:c r="F161" s="306"/>
      <x:c r="G161" s="306"/>
      <x:c r="H161" s="306"/>
      <x:c r="I161" s="306"/>
      <x:c r="J161" s="306"/>
      <x:c r="K161" s="306"/>
      <x:c r="L161" s="306"/>
      <x:c r="M161" s="306"/>
      <x:c r="N161" s="306"/>
      <x:c r="O161" s="306"/>
      <x:c r="P161" s="306"/>
      <x:c r="Q161" s="306"/>
    </x:row>
    <x:row r="162">
      <x:c r="A162" s="306"/>
      <x:c r="B162" s="306"/>
      <x:c r="C162" s="306"/>
      <x:c r="D162" s="306"/>
      <x:c r="E162" s="306"/>
      <x:c r="F162" s="306"/>
      <x:c r="G162" s="306"/>
      <x:c r="H162" s="306"/>
      <x:c r="I162" s="306"/>
      <x:c r="J162" s="306"/>
      <x:c r="K162" s="306"/>
      <x:c r="L162" s="306"/>
      <x:c r="M162" s="306"/>
      <x:c r="N162" s="306"/>
      <x:c r="O162" s="306"/>
      <x:c r="P162" s="306"/>
      <x:c r="Q162" s="306"/>
    </x:row>
    <x:row r="163">
      <x:c r="A163" s="306"/>
      <x:c r="B163" s="306"/>
      <x:c r="C163" s="306"/>
      <x:c r="D163" s="306"/>
      <x:c r="E163" s="306"/>
      <x:c r="F163" s="306"/>
      <x:c r="G163" s="306"/>
      <x:c r="H163" s="306"/>
      <x:c r="I163" s="306"/>
      <x:c r="J163" s="306"/>
      <x:c r="K163" s="306"/>
      <x:c r="L163" s="306"/>
      <x:c r="M163" s="306"/>
      <x:c r="N163" s="306"/>
      <x:c r="O163" s="306"/>
      <x:c r="P163" s="306"/>
      <x:c r="Q163" s="306"/>
    </x:row>
    <x:row r="164">
      <x:c r="A164" s="306"/>
      <x:c r="B164" s="306"/>
      <x:c r="C164" s="306"/>
      <x:c r="D164" s="306"/>
      <x:c r="E164" s="306"/>
      <x:c r="F164" s="306"/>
      <x:c r="G164" s="306"/>
      <x:c r="H164" s="306"/>
      <x:c r="I164" s="306"/>
      <x:c r="J164" s="306"/>
      <x:c r="K164" s="306"/>
      <x:c r="L164" s="306"/>
      <x:c r="M164" s="306"/>
      <x:c r="N164" s="306"/>
      <x:c r="O164" s="306"/>
      <x:c r="P164" s="306"/>
      <x:c r="Q164" s="306"/>
    </x:row>
    <x:row r="165">
      <x:c r="A165" s="306"/>
      <x:c r="B165" s="306"/>
      <x:c r="C165" s="306"/>
      <x:c r="D165" s="306"/>
      <x:c r="E165" s="306"/>
      <x:c r="F165" s="306"/>
      <x:c r="G165" s="306"/>
      <x:c r="H165" s="306"/>
      <x:c r="I165" s="306"/>
      <x:c r="J165" s="306"/>
      <x:c r="K165" s="306"/>
      <x:c r="L165" s="306"/>
      <x:c r="M165" s="306"/>
      <x:c r="N165" s="306"/>
      <x:c r="O165" s="306"/>
      <x:c r="P165" s="306"/>
      <x:c r="Q165" s="306"/>
    </x:row>
    <x:row r="166">
      <x:c r="A166" s="306"/>
      <x:c r="B166" s="306"/>
      <x:c r="C166" s="306"/>
      <x:c r="D166" s="306"/>
      <x:c r="E166" s="306"/>
      <x:c r="F166" s="306"/>
      <x:c r="G166" s="306"/>
      <x:c r="H166" s="306"/>
      <x:c r="I166" s="306"/>
      <x:c r="J166" s="306"/>
      <x:c r="K166" s="306"/>
      <x:c r="L166" s="306"/>
      <x:c r="M166" s="306"/>
      <x:c r="N166" s="306"/>
      <x:c r="O166" s="306"/>
      <x:c r="P166" s="306"/>
      <x:c r="Q166" s="306"/>
    </x:row>
    <x:row r="167">
      <x:c r="A167" s="306"/>
      <x:c r="B167" s="306"/>
      <x:c r="C167" s="306"/>
      <x:c r="D167" s="306"/>
      <x:c r="E167" s="306"/>
      <x:c r="F167" s="306"/>
      <x:c r="G167" s="306"/>
      <x:c r="H167" s="306"/>
      <x:c r="I167" s="306"/>
      <x:c r="J167" s="306"/>
      <x:c r="K167" s="306"/>
      <x:c r="L167" s="306"/>
      <x:c r="M167" s="306"/>
      <x:c r="N167" s="306"/>
      <x:c r="O167" s="306"/>
      <x:c r="P167" s="306"/>
      <x:c r="Q167" s="306"/>
    </x:row>
    <x:row r="168">
      <x:c r="A168" s="306"/>
      <x:c r="B168" s="306"/>
      <x:c r="C168" s="306"/>
      <x:c r="D168" s="306"/>
      <x:c r="E168" s="306"/>
      <x:c r="F168" s="306"/>
      <x:c r="G168" s="306"/>
      <x:c r="H168" s="306"/>
      <x:c r="I168" s="306"/>
      <x:c r="J168" s="306"/>
      <x:c r="K168" s="306"/>
      <x:c r="L168" s="306"/>
      <x:c r="M168" s="306"/>
      <x:c r="N168" s="306"/>
      <x:c r="O168" s="306"/>
      <x:c r="P168" s="306"/>
      <x:c r="Q168" s="306"/>
    </x:row>
    <x:row r="169">
      <x:c r="A169" s="306"/>
      <x:c r="B169" s="306"/>
      <x:c r="C169" s="306"/>
      <x:c r="D169" s="306"/>
      <x:c r="E169" s="306"/>
      <x:c r="F169" s="306"/>
      <x:c r="G169" s="306"/>
      <x:c r="H169" s="306"/>
      <x:c r="I169" s="306"/>
      <x:c r="J169" s="306"/>
      <x:c r="K169" s="306"/>
      <x:c r="L169" s="306"/>
      <x:c r="M169" s="306"/>
      <x:c r="N169" s="306"/>
      <x:c r="O169" s="306"/>
      <x:c r="P169" s="306"/>
      <x:c r="Q169" s="306"/>
    </x:row>
    <x:row r="170">
      <x:c r="A170" s="306"/>
      <x:c r="B170" s="306"/>
      <x:c r="C170" s="306"/>
      <x:c r="D170" s="306"/>
      <x:c r="E170" s="306"/>
      <x:c r="F170" s="306"/>
      <x:c r="G170" s="306"/>
      <x:c r="H170" s="306"/>
      <x:c r="I170" s="306"/>
      <x:c r="J170" s="306"/>
      <x:c r="K170" s="306"/>
      <x:c r="L170" s="306"/>
      <x:c r="M170" s="306"/>
      <x:c r="N170" s="306"/>
      <x:c r="O170" s="306"/>
      <x:c r="P170" s="306"/>
      <x:c r="Q170" s="306"/>
    </x:row>
    <x:row r="171">
      <x:c r="A171" s="306"/>
      <x:c r="B171" s="306"/>
      <x:c r="C171" s="306"/>
      <x:c r="D171" s="306"/>
      <x:c r="E171" s="306"/>
      <x:c r="F171" s="306"/>
      <x:c r="G171" s="306"/>
      <x:c r="H171" s="306"/>
      <x:c r="I171" s="306"/>
      <x:c r="J171" s="306"/>
      <x:c r="K171" s="306"/>
      <x:c r="L171" s="306"/>
      <x:c r="M171" s="306"/>
      <x:c r="N171" s="306"/>
      <x:c r="O171" s="306"/>
      <x:c r="P171" s="306"/>
      <x:c r="Q171" s="306"/>
    </x:row>
    <x:row r="172">
      <x:c r="A172" s="306"/>
      <x:c r="B172" s="306"/>
      <x:c r="C172" s="306"/>
      <x:c r="D172" s="306"/>
      <x:c r="E172" s="306"/>
      <x:c r="F172" s="306"/>
      <x:c r="G172" s="306"/>
      <x:c r="H172" s="306"/>
      <x:c r="I172" s="306"/>
      <x:c r="J172" s="306"/>
      <x:c r="K172" s="306"/>
      <x:c r="L172" s="306"/>
      <x:c r="M172" s="306"/>
      <x:c r="N172" s="306"/>
      <x:c r="O172" s="306"/>
      <x:c r="P172" s="306"/>
      <x:c r="Q172" s="306"/>
    </x:row>
    <x:row r="173">
      <x:c r="A173" s="306"/>
      <x:c r="B173" s="306"/>
      <x:c r="C173" s="306"/>
      <x:c r="D173" s="306"/>
      <x:c r="E173" s="306"/>
      <x:c r="F173" s="306"/>
      <x:c r="G173" s="306"/>
      <x:c r="H173" s="306"/>
      <x:c r="I173" s="306"/>
      <x:c r="J173" s="306"/>
      <x:c r="K173" s="306"/>
      <x:c r="L173" s="306"/>
      <x:c r="M173" s="306"/>
      <x:c r="N173" s="306"/>
      <x:c r="O173" s="306"/>
      <x:c r="P173" s="306"/>
      <x:c r="Q173" s="306"/>
    </x:row>
    <x:row r="174">
      <x:c r="A174" s="306"/>
      <x:c r="B174" s="306"/>
      <x:c r="C174" s="306"/>
      <x:c r="D174" s="306"/>
      <x:c r="E174" s="306"/>
      <x:c r="F174" s="306"/>
      <x:c r="G174" s="306"/>
      <x:c r="H174" s="306"/>
      <x:c r="I174" s="306"/>
      <x:c r="J174" s="306"/>
      <x:c r="K174" s="306"/>
      <x:c r="L174" s="306"/>
      <x:c r="M174" s="306"/>
      <x:c r="N174" s="306"/>
      <x:c r="O174" s="306"/>
      <x:c r="P174" s="306"/>
      <x:c r="Q174" s="306"/>
    </x:row>
    <x:row r="175">
      <x:c r="A175" s="306"/>
      <x:c r="B175" s="306"/>
      <x:c r="C175" s="306"/>
      <x:c r="D175" s="306"/>
      <x:c r="E175" s="306"/>
      <x:c r="F175" s="306"/>
      <x:c r="G175" s="306"/>
      <x:c r="H175" s="306"/>
      <x:c r="I175" s="306"/>
      <x:c r="J175" s="306"/>
      <x:c r="K175" s="306"/>
      <x:c r="L175" s="306"/>
      <x:c r="M175" s="306"/>
      <x:c r="N175" s="306"/>
      <x:c r="O175" s="306"/>
      <x:c r="P175" s="306"/>
      <x:c r="Q175" s="306"/>
    </x:row>
    <x:row r="176">
      <x:c r="A176" s="306"/>
      <x:c r="B176" s="306"/>
      <x:c r="C176" s="306"/>
      <x:c r="D176" s="306"/>
      <x:c r="E176" s="306"/>
      <x:c r="F176" s="306"/>
      <x:c r="G176" s="306"/>
      <x:c r="H176" s="306"/>
      <x:c r="I176" s="306"/>
      <x:c r="J176" s="306"/>
      <x:c r="K176" s="306"/>
      <x:c r="L176" s="306"/>
      <x:c r="M176" s="306"/>
      <x:c r="N176" s="306"/>
      <x:c r="O176" s="306"/>
      <x:c r="P176" s="306"/>
      <x:c r="Q176" s="306"/>
    </x:row>
    <x:row r="177">
      <x:c r="A177" s="306"/>
      <x:c r="B177" s="306"/>
      <x:c r="C177" s="306"/>
      <x:c r="D177" s="306"/>
      <x:c r="E177" s="306"/>
      <x:c r="F177" s="306"/>
      <x:c r="G177" s="306"/>
      <x:c r="H177" s="306"/>
      <x:c r="I177" s="306"/>
      <x:c r="J177" s="306"/>
      <x:c r="K177" s="306"/>
      <x:c r="L177" s="306"/>
      <x:c r="M177" s="306"/>
      <x:c r="N177" s="306"/>
      <x:c r="O177" s="306"/>
      <x:c r="P177" s="306"/>
      <x:c r="Q177" s="306"/>
    </x:row>
    <x:row r="178">
      <x:c r="A178" s="306"/>
      <x:c r="B178" s="306"/>
      <x:c r="C178" s="306"/>
      <x:c r="D178" s="306"/>
      <x:c r="E178" s="306"/>
      <x:c r="F178" s="306"/>
      <x:c r="G178" s="306"/>
      <x:c r="H178" s="306"/>
      <x:c r="I178" s="306"/>
      <x:c r="J178" s="306"/>
      <x:c r="K178" s="306"/>
      <x:c r="L178" s="306"/>
      <x:c r="M178" s="306"/>
      <x:c r="N178" s="306"/>
      <x:c r="O178" s="306"/>
      <x:c r="P178" s="306"/>
      <x:c r="Q178" s="306"/>
    </x:row>
    <x:row r="179">
      <x:c r="A179" s="306"/>
      <x:c r="B179" s="306"/>
      <x:c r="C179" s="306"/>
      <x:c r="D179" s="306"/>
      <x:c r="E179" s="306"/>
      <x:c r="F179" s="306"/>
      <x:c r="G179" s="306"/>
      <x:c r="H179" s="306"/>
      <x:c r="I179" s="306"/>
      <x:c r="J179" s="306"/>
      <x:c r="K179" s="306"/>
      <x:c r="L179" s="306"/>
      <x:c r="M179" s="306"/>
      <x:c r="N179" s="306"/>
      <x:c r="O179" s="306"/>
      <x:c r="P179" s="306"/>
      <x:c r="Q179" s="306"/>
    </x:row>
    <x:row r="180">
      <x:c r="A180" s="306"/>
      <x:c r="B180" s="306"/>
      <x:c r="C180" s="306"/>
      <x:c r="D180" s="306"/>
      <x:c r="E180" s="306"/>
      <x:c r="F180" s="306"/>
      <x:c r="G180" s="306"/>
      <x:c r="H180" s="306"/>
      <x:c r="I180" s="306"/>
      <x:c r="J180" s="306"/>
      <x:c r="K180" s="306"/>
      <x:c r="L180" s="306"/>
      <x:c r="M180" s="306"/>
      <x:c r="N180" s="306"/>
      <x:c r="O180" s="306"/>
      <x:c r="P180" s="306"/>
      <x:c r="Q180" s="306"/>
    </x:row>
    <x:row r="181">
      <x:c r="A181" s="306"/>
      <x:c r="B181" s="306"/>
      <x:c r="C181" s="306"/>
      <x:c r="D181" s="306"/>
      <x:c r="E181" s="306"/>
      <x:c r="F181" s="306"/>
      <x:c r="G181" s="306"/>
      <x:c r="H181" s="306"/>
      <x:c r="I181" s="306"/>
      <x:c r="J181" s="306"/>
      <x:c r="K181" s="306"/>
      <x:c r="L181" s="306"/>
      <x:c r="M181" s="306"/>
      <x:c r="N181" s="306"/>
      <x:c r="O181" s="306"/>
      <x:c r="P181" s="306"/>
      <x:c r="Q181" s="306"/>
    </x:row>
    <x:row r="182">
      <x:c r="A182" s="306"/>
      <x:c r="B182" s="306"/>
      <x:c r="C182" s="306"/>
      <x:c r="D182" s="306"/>
      <x:c r="E182" s="306"/>
      <x:c r="F182" s="306"/>
      <x:c r="G182" s="306"/>
      <x:c r="H182" s="306"/>
      <x:c r="I182" s="306"/>
      <x:c r="J182" s="306"/>
      <x:c r="K182" s="306"/>
      <x:c r="L182" s="306"/>
      <x:c r="M182" s="306"/>
      <x:c r="N182" s="306"/>
      <x:c r="O182" s="306"/>
      <x:c r="P182" s="306"/>
      <x:c r="Q182" s="306"/>
    </x:row>
    <x:row r="183">
      <x:c r="A183" s="306"/>
      <x:c r="B183" s="306"/>
      <x:c r="C183" s="306"/>
      <x:c r="D183" s="306"/>
      <x:c r="E183" s="306"/>
      <x:c r="F183" s="306"/>
      <x:c r="G183" s="306"/>
      <x:c r="H183" s="306"/>
      <x:c r="I183" s="306"/>
      <x:c r="J183" s="306"/>
      <x:c r="K183" s="306"/>
      <x:c r="L183" s="306"/>
      <x:c r="M183" s="306"/>
      <x:c r="N183" s="306"/>
      <x:c r="O183" s="306"/>
      <x:c r="P183" s="306"/>
      <x:c r="Q183" s="306"/>
    </x:row>
    <x:row r="184">
      <x:c r="A184" s="306"/>
      <x:c r="B184" s="306"/>
      <x:c r="C184" s="306"/>
      <x:c r="D184" s="306"/>
      <x:c r="E184" s="306"/>
      <x:c r="F184" s="306"/>
      <x:c r="G184" s="306"/>
      <x:c r="H184" s="306"/>
      <x:c r="I184" s="306"/>
      <x:c r="J184" s="306"/>
      <x:c r="K184" s="306"/>
      <x:c r="L184" s="306"/>
      <x:c r="M184" s="306"/>
      <x:c r="N184" s="306"/>
      <x:c r="O184" s="306"/>
      <x:c r="P184" s="306"/>
      <x:c r="Q184" s="306"/>
    </x:row>
    <x:row r="185">
      <x:c r="A185" s="306"/>
      <x:c r="B185" s="306"/>
      <x:c r="C185" s="306"/>
      <x:c r="D185" s="306"/>
      <x:c r="E185" s="306"/>
      <x:c r="F185" s="306"/>
      <x:c r="G185" s="306"/>
      <x:c r="H185" s="306"/>
      <x:c r="I185" s="306"/>
      <x:c r="J185" s="306"/>
      <x:c r="K185" s="306"/>
      <x:c r="L185" s="306"/>
      <x:c r="M185" s="306"/>
      <x:c r="N185" s="306"/>
      <x:c r="O185" s="306"/>
      <x:c r="P185" s="306"/>
      <x:c r="Q185" s="306"/>
    </x:row>
    <x:row r="186">
      <x:c r="A186" s="306"/>
      <x:c r="B186" s="306"/>
      <x:c r="C186" s="306"/>
      <x:c r="D186" s="306"/>
      <x:c r="E186" s="306"/>
      <x:c r="F186" s="306"/>
      <x:c r="G186" s="306"/>
      <x:c r="H186" s="306"/>
      <x:c r="I186" s="306"/>
      <x:c r="J186" s="306"/>
      <x:c r="K186" s="306"/>
      <x:c r="L186" s="306"/>
      <x:c r="M186" s="306"/>
      <x:c r="N186" s="306"/>
      <x:c r="O186" s="306"/>
      <x:c r="P186" s="306"/>
      <x:c r="Q186" s="306"/>
    </x:row>
    <x:row r="187">
      <x:c r="A187" s="306"/>
      <x:c r="B187" s="306"/>
      <x:c r="C187" s="306"/>
      <x:c r="D187" s="306"/>
      <x:c r="E187" s="306"/>
      <x:c r="F187" s="306"/>
      <x:c r="G187" s="306"/>
      <x:c r="H187" s="306"/>
      <x:c r="I187" s="306"/>
      <x:c r="J187" s="306"/>
      <x:c r="K187" s="306"/>
      <x:c r="L187" s="306"/>
      <x:c r="M187" s="306"/>
      <x:c r="N187" s="306"/>
      <x:c r="O187" s="306"/>
      <x:c r="P187" s="306"/>
      <x:c r="Q187" s="306"/>
    </x:row>
    <x:row r="188">
      <x:c r="A188" s="306"/>
      <x:c r="B188" s="306"/>
      <x:c r="C188" s="306"/>
      <x:c r="D188" s="306"/>
      <x:c r="E188" s="306"/>
      <x:c r="F188" s="306"/>
      <x:c r="G188" s="306"/>
      <x:c r="H188" s="306"/>
      <x:c r="I188" s="306"/>
      <x:c r="J188" s="306"/>
      <x:c r="K188" s="306"/>
      <x:c r="L188" s="306"/>
      <x:c r="M188" s="306"/>
      <x:c r="N188" s="306"/>
      <x:c r="O188" s="306"/>
      <x:c r="P188" s="306"/>
      <x:c r="Q188" s="306"/>
    </x:row>
    <x:row r="189">
      <x:c r="A189" s="306"/>
      <x:c r="B189" s="306"/>
      <x:c r="C189" s="306"/>
      <x:c r="D189" s="306"/>
      <x:c r="E189" s="306"/>
      <x:c r="F189" s="306"/>
      <x:c r="G189" s="306"/>
      <x:c r="H189" s="306"/>
      <x:c r="I189" s="306"/>
      <x:c r="J189" s="306"/>
      <x:c r="K189" s="306"/>
      <x:c r="L189" s="306"/>
      <x:c r="M189" s="306"/>
      <x:c r="N189" s="306"/>
      <x:c r="O189" s="306"/>
      <x:c r="P189" s="306"/>
      <x:c r="Q189" s="306"/>
    </x:row>
    <x:row r="190">
      <x:c r="A190" s="306"/>
      <x:c r="B190" s="306"/>
      <x:c r="C190" s="306"/>
      <x:c r="D190" s="306"/>
      <x:c r="E190" s="306"/>
      <x:c r="F190" s="306"/>
      <x:c r="G190" s="306"/>
      <x:c r="H190" s="306"/>
      <x:c r="I190" s="306"/>
      <x:c r="J190" s="306"/>
      <x:c r="K190" s="306"/>
      <x:c r="L190" s="306"/>
      <x:c r="M190" s="306"/>
      <x:c r="N190" s="306"/>
      <x:c r="O190" s="306"/>
      <x:c r="P190" s="306"/>
      <x:c r="Q190" s="306"/>
    </x:row>
    <x:row r="191">
      <x:c r="A191" s="306"/>
      <x:c r="B191" s="306"/>
      <x:c r="C191" s="306"/>
      <x:c r="D191" s="306"/>
      <x:c r="E191" s="306"/>
      <x:c r="F191" s="306"/>
      <x:c r="G191" s="306"/>
      <x:c r="H191" s="306"/>
      <x:c r="I191" s="306"/>
      <x:c r="J191" s="306"/>
      <x:c r="K191" s="306"/>
      <x:c r="L191" s="306"/>
      <x:c r="M191" s="306"/>
      <x:c r="N191" s="306"/>
      <x:c r="O191" s="306"/>
      <x:c r="P191" s="306"/>
      <x:c r="Q191" s="306"/>
    </x:row>
    <x:row r="192">
      <x:c r="A192" s="306"/>
      <x:c r="B192" s="306"/>
      <x:c r="C192" s="306"/>
      <x:c r="D192" s="306"/>
      <x:c r="E192" s="306"/>
      <x:c r="F192" s="306"/>
      <x:c r="G192" s="306"/>
      <x:c r="H192" s="306"/>
      <x:c r="I192" s="306"/>
      <x:c r="J192" s="306"/>
      <x:c r="K192" s="306"/>
      <x:c r="L192" s="306"/>
      <x:c r="M192" s="306"/>
      <x:c r="N192" s="306"/>
      <x:c r="O192" s="306"/>
      <x:c r="P192" s="306"/>
      <x:c r="Q192" s="306"/>
    </x:row>
    <x:row r="193">
      <x:c r="A193" s="306"/>
      <x:c r="B193" s="306"/>
      <x:c r="C193" s="306"/>
      <x:c r="D193" s="306"/>
      <x:c r="E193" s="306"/>
      <x:c r="F193" s="306"/>
      <x:c r="G193" s="306"/>
      <x:c r="H193" s="306"/>
      <x:c r="I193" s="306"/>
      <x:c r="J193" s="306"/>
      <x:c r="K193" s="306"/>
      <x:c r="L193" s="306"/>
      <x:c r="M193" s="306"/>
      <x:c r="N193" s="306"/>
      <x:c r="O193" s="306"/>
      <x:c r="P193" s="306"/>
      <x:c r="Q193" s="306"/>
    </x:row>
    <x:row r="194">
      <x:c r="A194" s="306"/>
      <x:c r="B194" s="306"/>
      <x:c r="C194" s="306"/>
      <x:c r="D194" s="306"/>
      <x:c r="E194" s="306"/>
      <x:c r="F194" s="306"/>
      <x:c r="G194" s="306"/>
      <x:c r="H194" s="306"/>
      <x:c r="I194" s="306"/>
      <x:c r="J194" s="306"/>
      <x:c r="K194" s="306"/>
      <x:c r="L194" s="306"/>
      <x:c r="M194" s="306"/>
      <x:c r="N194" s="306"/>
      <x:c r="O194" s="306"/>
      <x:c r="P194" s="306"/>
      <x:c r="Q194" s="306"/>
    </x:row>
    <x:row r="195">
      <x:c r="A195" s="306"/>
      <x:c r="B195" s="306"/>
      <x:c r="C195" s="306"/>
      <x:c r="D195" s="306"/>
      <x:c r="E195" s="306"/>
      <x:c r="F195" s="306"/>
      <x:c r="G195" s="306"/>
      <x:c r="H195" s="306"/>
      <x:c r="I195" s="306"/>
      <x:c r="J195" s="306"/>
      <x:c r="K195" s="306"/>
      <x:c r="L195" s="306"/>
      <x:c r="M195" s="306"/>
      <x:c r="N195" s="306"/>
      <x:c r="O195" s="306"/>
      <x:c r="P195" s="306"/>
      <x:c r="Q195" s="306"/>
    </x:row>
    <x:row r="196">
      <x:c r="A196" s="306"/>
      <x:c r="B196" s="306"/>
      <x:c r="C196" s="306"/>
      <x:c r="D196" s="306"/>
      <x:c r="E196" s="306"/>
      <x:c r="F196" s="306"/>
      <x:c r="G196" s="306"/>
      <x:c r="H196" s="306"/>
      <x:c r="I196" s="306"/>
      <x:c r="J196" s="306"/>
      <x:c r="K196" s="306"/>
      <x:c r="L196" s="306"/>
      <x:c r="M196" s="306"/>
      <x:c r="N196" s="306"/>
      <x:c r="O196" s="306"/>
      <x:c r="P196" s="306"/>
      <x:c r="Q196" s="306"/>
    </x:row>
    <x:row r="197">
      <x:c r="A197" s="306"/>
      <x:c r="B197" s="306"/>
      <x:c r="C197" s="306"/>
      <x:c r="D197" s="306"/>
      <x:c r="E197" s="306"/>
      <x:c r="F197" s="306"/>
      <x:c r="G197" s="306"/>
      <x:c r="H197" s="306"/>
      <x:c r="I197" s="306"/>
      <x:c r="J197" s="306"/>
      <x:c r="K197" s="306"/>
      <x:c r="L197" s="306"/>
      <x:c r="M197" s="306"/>
      <x:c r="N197" s="306"/>
      <x:c r="O197" s="306"/>
      <x:c r="P197" s="306"/>
      <x:c r="Q197" s="306"/>
    </x:row>
    <x:row r="198">
      <x:c r="A198" s="306"/>
      <x:c r="B198" s="306"/>
      <x:c r="C198" s="306"/>
      <x:c r="D198" s="306"/>
      <x:c r="E198" s="306"/>
      <x:c r="F198" s="306"/>
      <x:c r="G198" s="306"/>
      <x:c r="H198" s="306"/>
      <x:c r="I198" s="306"/>
      <x:c r="J198" s="306"/>
      <x:c r="K198" s="306"/>
      <x:c r="L198" s="306"/>
      <x:c r="M198" s="306"/>
      <x:c r="N198" s="306"/>
      <x:c r="O198" s="306"/>
      <x:c r="P198" s="306"/>
      <x:c r="Q198" s="306"/>
    </x:row>
    <x:row r="199">
      <x:c r="A199" s="306"/>
      <x:c r="B199" s="306"/>
      <x:c r="C199" s="306"/>
      <x:c r="D199" s="306"/>
      <x:c r="E199" s="306"/>
      <x:c r="F199" s="306"/>
      <x:c r="G199" s="306"/>
      <x:c r="H199" s="306"/>
      <x:c r="I199" s="306"/>
      <x:c r="J199" s="306"/>
      <x:c r="K199" s="306"/>
      <x:c r="L199" s="306"/>
      <x:c r="M199" s="306"/>
      <x:c r="N199" s="306"/>
      <x:c r="O199" s="306"/>
      <x:c r="P199" s="306"/>
      <x:c r="Q199" s="306"/>
    </x:row>
    <x:row r="200">
      <x:c r="A200" s="306"/>
      <x:c r="B200" s="306"/>
      <x:c r="C200" s="306"/>
      <x:c r="D200" s="306"/>
      <x:c r="E200" s="306"/>
      <x:c r="F200" s="306"/>
      <x:c r="G200" s="306"/>
      <x:c r="H200" s="306"/>
      <x:c r="I200" s="306"/>
      <x:c r="J200" s="306"/>
      <x:c r="K200" s="306"/>
      <x:c r="L200" s="306"/>
      <x:c r="M200" s="306"/>
      <x:c r="N200" s="306"/>
      <x:c r="O200" s="306"/>
      <x:c r="P200" s="306"/>
      <x:c r="Q200" s="306"/>
    </x:row>
    <x:row r="201">
      <x:c r="A201" s="306"/>
      <x:c r="B201" s="306"/>
      <x:c r="C201" s="306"/>
      <x:c r="D201" s="306"/>
      <x:c r="E201" s="306"/>
      <x:c r="F201" s="306"/>
      <x:c r="G201" s="306"/>
      <x:c r="H201" s="306"/>
      <x:c r="I201" s="306"/>
      <x:c r="J201" s="306"/>
      <x:c r="K201" s="306"/>
      <x:c r="L201" s="306"/>
      <x:c r="M201" s="306"/>
      <x:c r="N201" s="306"/>
      <x:c r="O201" s="306"/>
      <x:c r="P201" s="306"/>
      <x:c r="Q201" s="306"/>
    </x:row>
    <x:row r="202">
      <x:c r="A202" s="306"/>
      <x:c r="B202" s="306"/>
      <x:c r="C202" s="306"/>
      <x:c r="D202" s="306"/>
      <x:c r="E202" s="306"/>
      <x:c r="F202" s="306"/>
      <x:c r="G202" s="306"/>
      <x:c r="H202" s="306"/>
      <x:c r="I202" s="306"/>
      <x:c r="J202" s="306"/>
      <x:c r="K202" s="306"/>
      <x:c r="L202" s="306"/>
      <x:c r="M202" s="306"/>
      <x:c r="N202" s="306"/>
      <x:c r="O202" s="306"/>
      <x:c r="P202" s="306"/>
      <x:c r="Q202" s="306"/>
    </x:row>
    <x:row r="203">
      <x:c r="A203" s="306"/>
      <x:c r="B203" s="306"/>
      <x:c r="C203" s="306"/>
      <x:c r="D203" s="306"/>
      <x:c r="E203" s="306"/>
      <x:c r="F203" s="306"/>
      <x:c r="G203" s="306"/>
      <x:c r="H203" s="306"/>
      <x:c r="I203" s="306"/>
      <x:c r="J203" s="306"/>
      <x:c r="K203" s="306"/>
      <x:c r="L203" s="306"/>
      <x:c r="M203" s="306"/>
      <x:c r="N203" s="306"/>
      <x:c r="O203" s="306"/>
      <x:c r="P203" s="306"/>
      <x:c r="Q203" s="306"/>
    </x:row>
    <x:row r="204">
      <x:c r="A204" s="306"/>
      <x:c r="B204" s="306"/>
      <x:c r="C204" s="306"/>
      <x:c r="D204" s="306"/>
      <x:c r="E204" s="306"/>
      <x:c r="F204" s="306"/>
      <x:c r="G204" s="306"/>
      <x:c r="H204" s="306"/>
      <x:c r="I204" s="306"/>
      <x:c r="J204" s="306"/>
      <x:c r="K204" s="306"/>
      <x:c r="L204" s="306"/>
      <x:c r="M204" s="306"/>
      <x:c r="N204" s="306"/>
      <x:c r="O204" s="306"/>
      <x:c r="P204" s="306"/>
      <x:c r="Q204" s="306"/>
    </x:row>
  </x:sheetData>
  <x:mergeCells>
    <x:mergeCell ref="A1:L2"/>
    <x:mergeCell ref="A3:L3"/>
    <x:mergeCell ref="A5:F5"/>
    <x:mergeCell ref="B6:F6"/>
    <x:mergeCell ref="B7:F7"/>
    <x:mergeCell ref="B8:F8"/>
    <x:mergeCell ref="B9:F9"/>
    <x:mergeCell ref="B10:F10"/>
    <x:mergeCell ref="G5:L5"/>
    <x:mergeCell ref="H6:L6"/>
    <x:mergeCell ref="H7:L7"/>
    <x:mergeCell ref="H8:L8"/>
    <x:mergeCell ref="H9:L9"/>
    <x:mergeCell ref="H10:L10"/>
  </x:mergeCells>
  <x:conditionalFormatting sqref="E13:E112">
    <x:cfRule type="expression" dxfId="10" priority="1">
      <x:formula>E13="Yes"</x:formula>
    </x:cfRule>
    <x:cfRule type="expression" dxfId="11" priority="2">
      <x:formula>E13="No"</x:formula>
    </x:cfRule>
  </x:conditionalFormatting>
  <x:dataValidations count="1">
    <x:dataValidation type="list" sqref="E13:E11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f4ceddcee54c4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3" t="str">
        <x:v>Plan Status</x:v>
      </x:c>
      <x:c r="B1" s="14" t="str">
        <x:v>Mode</x:v>
      </x:c>
      <x:c r="C1" s="14" t="str">
        <x:v>Attempt Type</x:v>
      </x:c>
      <x:c r="D1" s="14" t="str">
        <x:v>Result</x:v>
      </x:c>
      <x:c r="E1" s="14" t="str">
        <x:v>Skill Focus</x:v>
      </x:c>
      <x:c r="F1" s="15" t="str">
        <x:v>Yes/No</x:v>
      </x:c>
    </x:row>
    <x:row r="2">
      <x:c r="A2" s="30" t="str">
        <x:v>Not Started</x:v>
      </x:c>
      <x:c r="B2" s="30" t="str">
        <x:v>Vanilla</x:v>
      </x:c>
      <x:c r="C2" s="30" t="str">
        <x:v>Full Run</x:v>
      </x:c>
      <x:c r="D2" s="30" t="str">
        <x:v>Completed</x:v>
      </x:c>
      <x:c r="E2" s="30" t="str">
        <x:v>Movement</x:v>
      </x:c>
      <x:c r="F2" s="30" t="str">
        <x:v>Yes</x:v>
      </x:c>
    </x:row>
    <x:row r="3">
      <x:c r="A3" s="30" t="str">
        <x:v>Partial</x:v>
      </x:c>
      <x:c r="B3" s="30" t="str">
        <x:v>Randomizer</x:v>
      </x:c>
      <x:c r="C3" s="30" t="str">
        <x:v>Segment Practice</x:v>
      </x:c>
      <x:c r="D3" s="30" t="str">
        <x:v>Game Over</x:v>
      </x:c>
      <x:c r="E3" s="30" t="str">
        <x:v>P-Speed</x:v>
      </x:c>
      <x:c r="F3" s="30" t="str">
        <x:v>No</x:v>
      </x:c>
    </x:row>
    <x:row r="4">
      <x:c r="A4" s="30" t="str">
        <x:v>Done</x:v>
      </x:c>
      <x:c r="B4" s="30"/>
      <x:c r="C4" s="30" t="str">
        <x:v>Level Practice</x:v>
      </x:c>
      <x:c r="D4" s="30" t="str">
        <x:v>Reset</x:v>
      </x:c>
      <x:c r="E4" s="30" t="str">
        <x:v>Jump Control</x:v>
      </x:c>
      <x:c r="F4" s="30"/>
    </x:row>
    <x:row r="5">
      <x:c r="A5" s="30"/>
      <x:c r="B5" s="30"/>
      <x:c r="C5" s="30" t="str">
        <x:v>No-Reset Run</x:v>
      </x:c>
      <x:c r="D5" s="30" t="str">
        <x:v>Practice Only</x:v>
      </x:c>
      <x:c r="E5" s="30" t="str">
        <x:v>Combat</x:v>
      </x:c>
      <x:c r="F5" s="30"/>
    </x:row>
    <x:row r="6">
      <x:c r="A6" s="30"/>
      <x:c r="B6" s="30"/>
      <x:c r="C6" s="30" t="str">
        <x:v>PB Attempt</x:v>
      </x:c>
      <x:c r="D6" s="30" t="str">
        <x:v>Stopped Early</x:v>
      </x:c>
      <x:c r="E6" s="30" t="str">
        <x:v>Bosses</x:v>
      </x:c>
      <x:c r="F6" s="30"/>
    </x:row>
    <x:row r="7">
      <x:c r="A7" s="30"/>
      <x:c r="B7" s="30"/>
      <x:c r="C7" s="30" t="str">
        <x:v>Casual/Exploration</x:v>
      </x:c>
      <x:c r="D7" s="30"/>
      <x:c r="E7" s="30" t="str">
        <x:v>Level Knowledge</x:v>
      </x:c>
      <x:c r="F7" s="30"/>
    </x:row>
    <x:row r="8">
      <x:c r="A8" s="30"/>
      <x:c r="B8" s="30"/>
      <x:c r="C8" s="30"/>
      <x:c r="D8" s="30"/>
      <x:c r="E8" s="30" t="str">
        <x:v>World 8</x:v>
      </x:c>
      <x:c r="F8" s="30"/>
    </x:row>
    <x:row r="9">
      <x:c r="A9" s="30"/>
      <x:c r="B9" s="30"/>
      <x:c r="C9" s="30"/>
      <x:c r="D9" s="30"/>
      <x:c r="E9" s="30" t="str">
        <x:v>Routing</x:v>
      </x:c>
      <x:c r="F9" s="30"/>
    </x:row>
    <x:row r="10">
      <x:c r="A10" s="30"/>
      <x:c r="B10" s="30"/>
      <x:c r="C10" s="30"/>
      <x:c r="D10" s="30"/>
      <x:c r="E10" s="30" t="str">
        <x:v>Power-Up Management</x:v>
      </x:c>
      <x:c r="F10" s="30"/>
    </x:row>
    <x:row r="11">
      <x:c r="A11" s="30"/>
      <x:c r="B11" s="30"/>
      <x:c r="C11" s="30"/>
      <x:c r="D11" s="30"/>
      <x:c r="E11" s="30" t="str">
        <x:v>Recovery</x:v>
      </x:c>
      <x:c r="F11" s="30"/>
    </x:row>
    <x:row r="12">
      <x:c r="A12" s="30"/>
      <x:c r="B12" s="30"/>
      <x:c r="C12" s="30"/>
      <x:c r="D12" s="30"/>
      <x:c r="E12" s="30" t="str">
        <x:v>Randomizer Decisions</x:v>
      </x:c>
      <x:c r="F12" s="30"/>
    </x:row>
    <x:row r="13">
      <x:c r="A13" s="30"/>
      <x:c r="B13" s="30"/>
      <x:c r="C13" s="30"/>
      <x:c r="D13" s="30"/>
      <x:c r="E13" s="30" t="str">
        <x:v>Consistency</x:v>
      </x:c>
      <x:c r="F13" s="30"/>
    </x:row>
    <x:row r="14">
      <x:c r="A14" s="30"/>
      <x:c r="B14" s="30"/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</x:sheetData>
  <x:pageMargins left="0.7" right="0.7" top="0.75" bottom="0.75" header="0.3" footer="0.3"/>
</x:worksheet>
</file>